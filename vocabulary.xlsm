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ran\dhamma\pali\"/>
    </mc:Choice>
  </mc:AlternateContent>
  <xr:revisionPtr revIDLastSave="0" documentId="13_ncr:1_{29DA4A0D-3719-4D46-ABF3-D4836EBE0B03}" xr6:coauthVersionLast="47" xr6:coauthVersionMax="47" xr10:uidLastSave="{00000000-0000-0000-0000-000000000000}"/>
  <bookViews>
    <workbookView xWindow="-120" yWindow="-120" windowWidth="29040" windowHeight="15720" activeTab="9" xr2:uid="{26A82982-632B-4107-AFDA-B13E162BD709}"/>
  </bookViews>
  <sheets>
    <sheet name="1" sheetId="1" r:id="rId1"/>
    <sheet name="2" sheetId="2" r:id="rId2"/>
    <sheet name="3" sheetId="4" r:id="rId3"/>
    <sheet name="4" sheetId="5" r:id="rId4"/>
    <sheet name="5" sheetId="6" r:id="rId5"/>
    <sheet name="7" sheetId="8" r:id="rId6"/>
    <sheet name="8" sheetId="9" r:id="rId7"/>
    <sheet name="9" sheetId="10" r:id="rId8"/>
    <sheet name="10" sheetId="11" r:id="rId9"/>
    <sheet name="grammar" sheetId="7" r:id="rId10"/>
    <sheet name="summary" sheetId="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" i="3" l="1"/>
  <c r="I66" i="3"/>
  <c r="I19" i="3"/>
  <c r="I88" i="3"/>
  <c r="I161" i="3"/>
  <c r="I91" i="3"/>
  <c r="I87" i="3"/>
  <c r="I31" i="3"/>
  <c r="I23" i="3"/>
  <c r="I85" i="3"/>
  <c r="I32" i="3"/>
  <c r="I12" i="3"/>
  <c r="I170" i="3"/>
  <c r="I162" i="3"/>
  <c r="I142" i="3"/>
  <c r="I78" i="3"/>
  <c r="I7" i="3"/>
  <c r="I150" i="3"/>
  <c r="I84" i="3"/>
  <c r="I77" i="3"/>
  <c r="I25" i="3"/>
  <c r="I16" i="3"/>
  <c r="I4" i="3"/>
  <c r="I115" i="3"/>
  <c r="I148" i="3"/>
  <c r="I75" i="3"/>
  <c r="E22" i="3"/>
  <c r="E142" i="3"/>
  <c r="E38" i="3"/>
  <c r="E66" i="3"/>
  <c r="E174" i="3"/>
  <c r="E57" i="3"/>
  <c r="E168" i="3"/>
  <c r="E149" i="3"/>
  <c r="E181" i="3"/>
  <c r="E93" i="3"/>
  <c r="E28" i="3"/>
  <c r="E43" i="3"/>
  <c r="E71" i="3"/>
  <c r="E45" i="3"/>
  <c r="E167" i="3"/>
  <c r="E59" i="3"/>
  <c r="E11" i="3"/>
  <c r="E141" i="3"/>
  <c r="E95" i="3"/>
  <c r="E31" i="3"/>
  <c r="E54" i="3"/>
  <c r="E96" i="3"/>
  <c r="E30" i="3"/>
  <c r="E75" i="3"/>
  <c r="E73" i="3"/>
  <c r="E15" i="3"/>
  <c r="E27" i="3"/>
  <c r="E94" i="3"/>
  <c r="E67" i="3"/>
  <c r="E114" i="3"/>
  <c r="E138" i="3"/>
  <c r="E13" i="3"/>
  <c r="E109" i="3"/>
  <c r="E165" i="3"/>
  <c r="E155" i="3"/>
  <c r="E70" i="3"/>
  <c r="E17" i="3"/>
  <c r="E104" i="3"/>
  <c r="E60" i="3"/>
  <c r="E63" i="3"/>
  <c r="E26" i="3"/>
  <c r="E33" i="3"/>
  <c r="E74" i="3"/>
  <c r="E25" i="3"/>
  <c r="E131" i="3"/>
  <c r="E72" i="3"/>
  <c r="E171" i="3"/>
  <c r="E78" i="3"/>
  <c r="E118" i="3"/>
  <c r="E169" i="3"/>
  <c r="E55" i="3"/>
  <c r="E105" i="3"/>
  <c r="E84" i="3"/>
  <c r="E101" i="3"/>
  <c r="E175" i="3"/>
  <c r="E44" i="3"/>
  <c r="E47" i="3"/>
  <c r="E154" i="3"/>
  <c r="E51" i="3"/>
  <c r="E122" i="3"/>
  <c r="E20" i="3"/>
  <c r="E81" i="3"/>
  <c r="E42" i="3"/>
  <c r="E90" i="3"/>
  <c r="E37" i="3"/>
  <c r="E7" i="3"/>
  <c r="E23" i="3"/>
  <c r="E170" i="3"/>
  <c r="E137" i="3"/>
  <c r="E14" i="3"/>
  <c r="E135" i="3"/>
  <c r="E113" i="3"/>
  <c r="E8" i="3"/>
  <c r="E9" i="3"/>
  <c r="E35" i="3"/>
  <c r="E139" i="3"/>
  <c r="E32" i="3"/>
  <c r="E4" i="3"/>
  <c r="E97" i="3"/>
  <c r="E12" i="3"/>
  <c r="E65" i="3"/>
  <c r="E182" i="3"/>
  <c r="E3" i="3"/>
  <c r="E159" i="3"/>
  <c r="E144" i="3"/>
  <c r="E146" i="3"/>
  <c r="E53" i="3"/>
  <c r="E177" i="3"/>
  <c r="E151" i="3"/>
  <c r="E147" i="3"/>
  <c r="E34" i="3"/>
  <c r="E156" i="3"/>
  <c r="E119" i="3"/>
  <c r="E115" i="3"/>
  <c r="E64" i="3"/>
  <c r="E61" i="3"/>
  <c r="E124" i="3"/>
  <c r="E16" i="3"/>
  <c r="E148" i="3"/>
  <c r="E41" i="3"/>
  <c r="E52" i="3"/>
  <c r="E164" i="3"/>
  <c r="E49" i="3"/>
  <c r="E126" i="3"/>
  <c r="E112" i="3"/>
  <c r="E158" i="3"/>
  <c r="E120" i="3"/>
  <c r="E48" i="3"/>
  <c r="E18" i="3"/>
  <c r="E102" i="3"/>
  <c r="E76" i="3"/>
  <c r="E160" i="3"/>
  <c r="E29" i="3"/>
  <c r="E153" i="3"/>
  <c r="E183" i="3"/>
  <c r="E134" i="3"/>
  <c r="E88" i="3"/>
  <c r="E162" i="3"/>
  <c r="E103" i="3"/>
  <c r="E58" i="3"/>
  <c r="E87" i="3"/>
  <c r="E62" i="3"/>
  <c r="E132" i="3"/>
  <c r="E98" i="3"/>
  <c r="E19" i="3"/>
  <c r="E128" i="3"/>
  <c r="E36" i="3"/>
  <c r="E50" i="3"/>
  <c r="E108" i="3"/>
  <c r="E125" i="3"/>
  <c r="E116" i="3"/>
  <c r="E123" i="3"/>
  <c r="E69" i="3"/>
  <c r="E56" i="3"/>
  <c r="E180" i="3"/>
  <c r="E21" i="3"/>
  <c r="E152" i="3"/>
  <c r="E10" i="3"/>
  <c r="E107" i="3"/>
  <c r="E99" i="3"/>
  <c r="E80" i="3"/>
  <c r="E40" i="3"/>
  <c r="E68" i="3"/>
  <c r="E2" i="3"/>
  <c r="E117" i="3"/>
  <c r="E83" i="3"/>
  <c r="E176" i="3"/>
  <c r="E82" i="3"/>
  <c r="E130" i="3"/>
  <c r="E163" i="3"/>
  <c r="E136" i="3"/>
  <c r="E121" i="3"/>
  <c r="E77" i="3"/>
  <c r="E133" i="3"/>
  <c r="E143" i="3"/>
  <c r="E91" i="3"/>
  <c r="E46" i="3"/>
  <c r="E24" i="3"/>
  <c r="E106" i="3"/>
  <c r="E79" i="3"/>
  <c r="E1" i="3"/>
  <c r="E179" i="3"/>
  <c r="E86" i="3"/>
  <c r="E6" i="3"/>
  <c r="E89" i="3"/>
  <c r="E39" i="3"/>
  <c r="E166" i="3"/>
  <c r="E110" i="3"/>
  <c r="E173" i="3"/>
  <c r="E127" i="3"/>
  <c r="E157" i="3"/>
  <c r="E111" i="3"/>
  <c r="E140" i="3"/>
  <c r="E129" i="3"/>
  <c r="E145" i="3"/>
  <c r="E178" i="3"/>
  <c r="E5" i="3"/>
  <c r="E85" i="3"/>
  <c r="E150" i="3"/>
  <c r="E92" i="3"/>
  <c r="E161" i="3"/>
  <c r="E100" i="3"/>
  <c r="E172" i="3"/>
  <c r="I120" i="3"/>
  <c r="I57" i="3"/>
  <c r="I47" i="3"/>
  <c r="I5" i="3"/>
  <c r="I104" i="3"/>
  <c r="I61" i="3"/>
  <c r="I95" i="3"/>
  <c r="I146" i="3"/>
  <c r="I110" i="3"/>
  <c r="I41" i="3"/>
  <c r="I38" i="3"/>
  <c r="I56" i="3"/>
  <c r="I152" i="3"/>
  <c r="I165" i="3"/>
  <c r="I114" i="3"/>
  <c r="I157" i="3"/>
  <c r="I60" i="3"/>
  <c r="I129" i="3"/>
  <c r="I79" i="3"/>
  <c r="I178" i="3"/>
  <c r="I158" i="3"/>
  <c r="I137" i="3"/>
  <c r="I125" i="3"/>
  <c r="F1" i="10"/>
  <c r="F13" i="10"/>
  <c r="F12" i="10"/>
  <c r="F10" i="10"/>
  <c r="F3" i="10"/>
  <c r="F7" i="10"/>
  <c r="F9" i="10"/>
  <c r="F14" i="10"/>
  <c r="F2" i="10"/>
  <c r="F8" i="10"/>
  <c r="F5" i="10"/>
  <c r="F11" i="10"/>
  <c r="F4" i="10"/>
  <c r="F6" i="10"/>
  <c r="A1" i="10"/>
  <c r="A13" i="10"/>
  <c r="A12" i="10"/>
  <c r="A10" i="10"/>
  <c r="A3" i="10"/>
  <c r="A7" i="10"/>
  <c r="A9" i="10"/>
  <c r="A14" i="10"/>
  <c r="A2" i="10"/>
  <c r="A8" i="10"/>
  <c r="A5" i="10"/>
  <c r="A11" i="10"/>
  <c r="A4" i="10"/>
  <c r="A6" i="10"/>
  <c r="I153" i="3"/>
  <c r="I30" i="3"/>
  <c r="I15" i="3"/>
  <c r="I42" i="3"/>
  <c r="I149" i="3"/>
  <c r="I45" i="3"/>
  <c r="I92" i="3"/>
  <c r="I121" i="3"/>
  <c r="I166" i="3"/>
  <c r="I167" i="3"/>
  <c r="I68" i="3"/>
  <c r="I174" i="3"/>
  <c r="I180" i="3"/>
  <c r="I26" i="3"/>
  <c r="I119" i="3"/>
  <c r="I27" i="3"/>
  <c r="I143" i="3"/>
  <c r="I144" i="3"/>
  <c r="I135" i="3"/>
  <c r="I6" i="3"/>
  <c r="I62" i="3"/>
  <c r="I94" i="3"/>
  <c r="I93" i="3"/>
  <c r="I103" i="3"/>
  <c r="I24" i="3"/>
  <c r="I29" i="3"/>
  <c r="I33" i="3"/>
  <c r="I175" i="3"/>
  <c r="E34" i="9"/>
  <c r="A34" i="9"/>
  <c r="A30" i="9"/>
  <c r="E30" i="9"/>
  <c r="E17" i="9"/>
  <c r="E16" i="9"/>
  <c r="E24" i="9"/>
  <c r="E15" i="9"/>
  <c r="E31" i="9"/>
  <c r="E2" i="9"/>
  <c r="E23" i="9"/>
  <c r="E10" i="9"/>
  <c r="E4" i="9"/>
  <c r="E25" i="9"/>
  <c r="E11" i="9"/>
  <c r="E29" i="9"/>
  <c r="E22" i="9"/>
  <c r="E3" i="9"/>
  <c r="E6" i="9"/>
  <c r="E21" i="9"/>
  <c r="E28" i="9"/>
  <c r="E13" i="9"/>
  <c r="A17" i="9"/>
  <c r="E37" i="9"/>
  <c r="E35" i="9"/>
  <c r="E27" i="9"/>
  <c r="E32" i="9"/>
  <c r="E8" i="9"/>
  <c r="E18" i="9"/>
  <c r="E9" i="9"/>
  <c r="E5" i="9"/>
  <c r="E12" i="9"/>
  <c r="E14" i="9"/>
  <c r="E36" i="9"/>
  <c r="E7" i="9"/>
  <c r="E20" i="9"/>
  <c r="E33" i="9"/>
  <c r="E19" i="9"/>
  <c r="E26" i="9"/>
  <c r="E1" i="9"/>
  <c r="A6" i="9"/>
  <c r="A31" i="9"/>
  <c r="A16" i="9"/>
  <c r="A10" i="9"/>
  <c r="A23" i="9"/>
  <c r="A29" i="9"/>
  <c r="A4" i="9"/>
  <c r="A21" i="9"/>
  <c r="A2" i="9"/>
  <c r="A24" i="9"/>
  <c r="A11" i="9"/>
  <c r="A22" i="9"/>
  <c r="A3" i="9"/>
  <c r="A28" i="9"/>
  <c r="A15" i="9"/>
  <c r="A25" i="9"/>
  <c r="A37" i="9"/>
  <c r="A35" i="9"/>
  <c r="A27" i="9"/>
  <c r="A32" i="9"/>
  <c r="A8" i="9"/>
  <c r="A18" i="9"/>
  <c r="A9" i="9"/>
  <c r="A5" i="9"/>
  <c r="A12" i="9"/>
  <c r="A14" i="9"/>
  <c r="A36" i="9"/>
  <c r="A7" i="9"/>
  <c r="A20" i="9"/>
  <c r="A33" i="9"/>
  <c r="A19" i="9"/>
  <c r="A26" i="9"/>
  <c r="A1" i="9"/>
  <c r="A13" i="9"/>
  <c r="I159" i="3"/>
  <c r="I156" i="3"/>
  <c r="I49" i="3"/>
  <c r="I89" i="3"/>
  <c r="I72" i="3"/>
  <c r="I145" i="3"/>
  <c r="I176" i="3"/>
  <c r="I48" i="3"/>
  <c r="I131" i="3"/>
  <c r="I133" i="3"/>
  <c r="I51" i="3"/>
  <c r="I160" i="3"/>
  <c r="I138" i="3"/>
  <c r="I82" i="3"/>
  <c r="I10" i="3"/>
  <c r="I112" i="3"/>
  <c r="I83" i="3"/>
  <c r="I99" i="3"/>
  <c r="I141" i="3"/>
  <c r="I154" i="3"/>
  <c r="I130" i="3"/>
  <c r="I55" i="3"/>
  <c r="I71" i="3"/>
  <c r="I97" i="3"/>
  <c r="I183" i="3"/>
  <c r="I28" i="3"/>
  <c r="I18" i="3"/>
  <c r="I113" i="3"/>
  <c r="I107" i="3"/>
  <c r="I80" i="3"/>
  <c r="I35" i="3"/>
  <c r="I64" i="3"/>
  <c r="I11" i="3"/>
  <c r="I177" i="3"/>
  <c r="I139" i="3"/>
  <c r="I46" i="3"/>
  <c r="I118" i="3"/>
  <c r="I108" i="3"/>
  <c r="I76" i="3"/>
  <c r="I140" i="3"/>
  <c r="I173" i="3"/>
  <c r="I54" i="3"/>
  <c r="I53" i="3"/>
  <c r="I134" i="3"/>
  <c r="I67" i="3"/>
  <c r="I73" i="3"/>
  <c r="I63" i="3"/>
  <c r="I164" i="3"/>
  <c r="I43" i="3"/>
  <c r="I22" i="3"/>
  <c r="I109" i="3"/>
  <c r="I52" i="3"/>
  <c r="I116" i="3"/>
  <c r="I40" i="3"/>
  <c r="I132" i="3"/>
  <c r="I65" i="3"/>
  <c r="I111" i="3"/>
  <c r="I128" i="3"/>
  <c r="I100" i="3"/>
  <c r="I34" i="3"/>
  <c r="I126" i="3"/>
  <c r="I8" i="3"/>
  <c r="I136" i="3"/>
  <c r="I171" i="3"/>
  <c r="I9" i="3"/>
  <c r="I169" i="3"/>
  <c r="I123" i="3"/>
  <c r="I163" i="3"/>
  <c r="I1" i="3"/>
  <c r="I86" i="3"/>
  <c r="I37" i="3"/>
  <c r="I168" i="3"/>
  <c r="I2" i="3"/>
  <c r="I21" i="3"/>
  <c r="I105" i="3"/>
  <c r="I44" i="3"/>
  <c r="I127" i="3"/>
  <c r="I98" i="3"/>
  <c r="I70" i="3"/>
  <c r="I14" i="3"/>
  <c r="I69" i="3"/>
  <c r="I74" i="3"/>
  <c r="I101" i="3"/>
  <c r="I181" i="3"/>
  <c r="I182" i="3"/>
  <c r="I20" i="3"/>
  <c r="I90" i="3"/>
  <c r="I106" i="3"/>
  <c r="I155" i="3"/>
  <c r="I172" i="3"/>
  <c r="I151" i="3"/>
  <c r="I81" i="3"/>
  <c r="I179" i="3"/>
  <c r="I124" i="3"/>
  <c r="I58" i="3"/>
  <c r="I147" i="3"/>
  <c r="I39" i="3"/>
  <c r="I36" i="3"/>
  <c r="I96" i="3"/>
  <c r="I117" i="3"/>
  <c r="I3" i="3"/>
  <c r="I122" i="3"/>
  <c r="I102" i="3"/>
  <c r="I17" i="3"/>
  <c r="I59" i="3"/>
  <c r="I13" i="3"/>
  <c r="D14" i="8"/>
  <c r="A14" i="8"/>
  <c r="D20" i="8"/>
  <c r="D22" i="8"/>
  <c r="D4" i="8"/>
  <c r="D21" i="8"/>
  <c r="D23" i="8"/>
  <c r="D8" i="8"/>
  <c r="D16" i="8"/>
  <c r="D12" i="8"/>
  <c r="D18" i="8"/>
  <c r="D10" i="8"/>
  <c r="D7" i="8"/>
  <c r="D3" i="8"/>
  <c r="D17" i="8"/>
  <c r="D6" i="8"/>
  <c r="D25" i="8"/>
  <c r="D2" i="8"/>
  <c r="D11" i="8"/>
  <c r="D27" i="8"/>
  <c r="D13" i="8"/>
  <c r="D15" i="8"/>
  <c r="D19" i="8"/>
  <c r="D5" i="8"/>
  <c r="D1" i="8"/>
  <c r="D9" i="8"/>
  <c r="D26" i="8"/>
  <c r="D24" i="8"/>
  <c r="A27" i="8"/>
  <c r="A4" i="8"/>
  <c r="A11" i="8"/>
  <c r="A16" i="8"/>
  <c r="A18" i="8"/>
  <c r="A7" i="8"/>
  <c r="A9" i="8"/>
  <c r="A8" i="8"/>
  <c r="A20" i="8"/>
  <c r="A1" i="8"/>
  <c r="A15" i="8"/>
  <c r="A25" i="8"/>
  <c r="A19" i="8"/>
  <c r="A10" i="8"/>
  <c r="A21" i="8"/>
  <c r="A13" i="8"/>
  <c r="A12" i="8"/>
  <c r="A5" i="8"/>
  <c r="A23" i="8"/>
  <c r="A26" i="8"/>
  <c r="A3" i="8"/>
  <c r="A22" i="8"/>
  <c r="A6" i="8"/>
  <c r="A17" i="8"/>
  <c r="A24" i="8"/>
  <c r="A2" i="8"/>
  <c r="E12" i="6"/>
  <c r="B12" i="6"/>
  <c r="B5" i="6"/>
  <c r="B18" i="6"/>
  <c r="B2" i="6"/>
  <c r="B3" i="6"/>
  <c r="B21" i="6"/>
  <c r="B19" i="6"/>
  <c r="B17" i="6"/>
  <c r="B20" i="6"/>
  <c r="B1" i="6"/>
  <c r="B13" i="6"/>
  <c r="B6" i="6"/>
  <c r="B4" i="6"/>
  <c r="B14" i="6"/>
  <c r="B9" i="6"/>
  <c r="B10" i="6"/>
  <c r="B8" i="6"/>
  <c r="B7" i="6"/>
  <c r="B16" i="6"/>
  <c r="B15" i="6"/>
  <c r="B11" i="6"/>
  <c r="E5" i="6"/>
  <c r="E18" i="6"/>
  <c r="E2" i="6"/>
  <c r="E3" i="6"/>
  <c r="E21" i="6"/>
  <c r="E19" i="6"/>
  <c r="E17" i="6"/>
  <c r="E20" i="6"/>
  <c r="E1" i="6"/>
  <c r="E13" i="6"/>
  <c r="E6" i="6"/>
  <c r="E4" i="6"/>
  <c r="E14" i="6"/>
  <c r="E9" i="6"/>
  <c r="E10" i="6"/>
  <c r="E8" i="6"/>
  <c r="E7" i="6"/>
  <c r="E16" i="6"/>
  <c r="E15" i="6"/>
  <c r="E11" i="6"/>
  <c r="A7" i="5"/>
  <c r="A23" i="5"/>
  <c r="A20" i="5"/>
  <c r="A16" i="5"/>
  <c r="A22" i="5"/>
  <c r="A5" i="5"/>
  <c r="A18" i="5"/>
  <c r="A9" i="5"/>
  <c r="A3" i="5"/>
  <c r="A10" i="5"/>
  <c r="A21" i="5"/>
  <c r="A8" i="5"/>
  <c r="A11" i="5"/>
  <c r="A13" i="5"/>
  <c r="A4" i="5"/>
  <c r="A24" i="5"/>
  <c r="A15" i="5"/>
  <c r="A14" i="5"/>
  <c r="A17" i="5"/>
  <c r="A2" i="5"/>
  <c r="A6" i="5"/>
  <c r="A12" i="5"/>
  <c r="A1" i="5"/>
  <c r="A19" i="5"/>
  <c r="A9" i="4"/>
  <c r="A17" i="4"/>
  <c r="A12" i="4"/>
  <c r="A11" i="4"/>
  <c r="A10" i="4"/>
  <c r="A4" i="4"/>
  <c r="A15" i="4"/>
  <c r="A2" i="4"/>
  <c r="A5" i="4"/>
  <c r="A14" i="4"/>
  <c r="A13" i="4"/>
  <c r="A6" i="4"/>
  <c r="A8" i="4"/>
  <c r="A16" i="4"/>
  <c r="A7" i="4"/>
  <c r="A1" i="4"/>
  <c r="A3" i="4"/>
  <c r="A15" i="2"/>
  <c r="A24" i="2"/>
  <c r="A13" i="2"/>
  <c r="A22" i="2"/>
  <c r="A6" i="2"/>
  <c r="A23" i="2"/>
  <c r="A25" i="2"/>
  <c r="A16" i="2"/>
  <c r="A17" i="2"/>
  <c r="A11" i="2"/>
  <c r="A14" i="2"/>
  <c r="A19" i="2"/>
  <c r="A9" i="2"/>
  <c r="A18" i="2"/>
  <c r="A10" i="2"/>
  <c r="A8" i="2"/>
  <c r="A4" i="2"/>
  <c r="A1" i="2"/>
  <c r="A3" i="2"/>
  <c r="A2" i="2"/>
  <c r="A21" i="2"/>
  <c r="A20" i="2"/>
  <c r="A5" i="2"/>
  <c r="A12" i="2"/>
  <c r="A7" i="2"/>
  <c r="A26" i="2"/>
</calcChain>
</file>

<file path=xl/sharedStrings.xml><?xml version="1.0" encoding="utf-8"?>
<sst xmlns="http://schemas.openxmlformats.org/spreadsheetml/2006/main" count="1611" uniqueCount="517">
  <si>
    <t>manussa</t>
  </si>
  <si>
    <t>nara/purisa</t>
  </si>
  <si>
    <t>man/person</t>
  </si>
  <si>
    <t>kassaka</t>
  </si>
  <si>
    <t>farmer</t>
  </si>
  <si>
    <t>man/human being</t>
  </si>
  <si>
    <t>brāhmaṇa</t>
  </si>
  <si>
    <t>putta</t>
  </si>
  <si>
    <t>brahmin (bà la môn)</t>
  </si>
  <si>
    <t>son</t>
  </si>
  <si>
    <t>mātula</t>
  </si>
  <si>
    <t>uncle</t>
  </si>
  <si>
    <t>kumāra</t>
  </si>
  <si>
    <t>boy</t>
  </si>
  <si>
    <t>vāṇija</t>
  </si>
  <si>
    <t>trader</t>
  </si>
  <si>
    <t>bhūpāla</t>
  </si>
  <si>
    <t>king</t>
  </si>
  <si>
    <t>sahāya/sahāyaka/mitta</t>
  </si>
  <si>
    <t>friend</t>
  </si>
  <si>
    <t>bhāsati</t>
  </si>
  <si>
    <t>speak</t>
  </si>
  <si>
    <t>pacati</t>
  </si>
  <si>
    <t>cook</t>
  </si>
  <si>
    <t>kasati</t>
  </si>
  <si>
    <t>plough</t>
  </si>
  <si>
    <t>bhuñjati</t>
  </si>
  <si>
    <t>eat</t>
  </si>
  <si>
    <t>sayati</t>
  </si>
  <si>
    <t>sleep</t>
  </si>
  <si>
    <t>passati</t>
  </si>
  <si>
    <t>see</t>
  </si>
  <si>
    <t>chindati</t>
  </si>
  <si>
    <t>cut</t>
  </si>
  <si>
    <t>gacchati</t>
  </si>
  <si>
    <t>go</t>
  </si>
  <si>
    <t>āgacchati</t>
  </si>
  <si>
    <t>come</t>
  </si>
  <si>
    <t>dhāvati</t>
  </si>
  <si>
    <t>run</t>
  </si>
  <si>
    <t>dhamma</t>
  </si>
  <si>
    <t>doctrine, truth</t>
  </si>
  <si>
    <t>bhatta</t>
  </si>
  <si>
    <t>rice/meal</t>
  </si>
  <si>
    <t>odana</t>
  </si>
  <si>
    <t>cooked rice</t>
  </si>
  <si>
    <t>gāma</t>
  </si>
  <si>
    <t>village</t>
  </si>
  <si>
    <t>suriya</t>
  </si>
  <si>
    <t>sun</t>
  </si>
  <si>
    <t>canda</t>
  </si>
  <si>
    <t>moon</t>
  </si>
  <si>
    <t>kukkura</t>
  </si>
  <si>
    <t>dog</t>
  </si>
  <si>
    <t>sunakha</t>
  </si>
  <si>
    <t>soṇa</t>
  </si>
  <si>
    <t>vihāra</t>
  </si>
  <si>
    <t>monastery</t>
  </si>
  <si>
    <t>patta</t>
  </si>
  <si>
    <t>bowl</t>
  </si>
  <si>
    <t>āvāṭa</t>
  </si>
  <si>
    <t>pit</t>
  </si>
  <si>
    <t>pabbata</t>
  </si>
  <si>
    <t>mountain</t>
  </si>
  <si>
    <t>yācaka</t>
  </si>
  <si>
    <t>beggar</t>
  </si>
  <si>
    <t>sigāla</t>
  </si>
  <si>
    <t>rukkha</t>
  </si>
  <si>
    <t>tree</t>
  </si>
  <si>
    <t>sahāyaka</t>
  </si>
  <si>
    <t>mitta</t>
  </si>
  <si>
    <t>sahāya</t>
  </si>
  <si>
    <t>purisa</t>
  </si>
  <si>
    <t>nara</t>
  </si>
  <si>
    <t>harati</t>
  </si>
  <si>
    <t>carry/take away</t>
  </si>
  <si>
    <t>āharati</t>
  </si>
  <si>
    <t>bring</t>
  </si>
  <si>
    <t>āruhati</t>
  </si>
  <si>
    <t>climb/ascend</t>
  </si>
  <si>
    <t>oruhati</t>
  </si>
  <si>
    <t>descend</t>
  </si>
  <si>
    <t>yācati</t>
  </si>
  <si>
    <t>beg</t>
  </si>
  <si>
    <t>khaṇati</t>
  </si>
  <si>
    <t>dig</t>
  </si>
  <si>
    <t>vijjhati</t>
  </si>
  <si>
    <t>shoot</t>
  </si>
  <si>
    <t>paharati</t>
  </si>
  <si>
    <t>hit/strike</t>
  </si>
  <si>
    <t>rakkhati</t>
  </si>
  <si>
    <t>protect</t>
  </si>
  <si>
    <t>vandati</t>
  </si>
  <si>
    <t>worship/salute (đảnh lễ)</t>
  </si>
  <si>
    <t>jackal (chó rừng)</t>
  </si>
  <si>
    <t>ratha</t>
  </si>
  <si>
    <t>vehicle</t>
  </si>
  <si>
    <t>sakaṭa</t>
  </si>
  <si>
    <t>xe bò</t>
  </si>
  <si>
    <t>hattha</t>
  </si>
  <si>
    <t>hand</t>
  </si>
  <si>
    <t>pāda</t>
  </si>
  <si>
    <t>foot</t>
  </si>
  <si>
    <t>magga</t>
  </si>
  <si>
    <t>path</t>
  </si>
  <si>
    <t>dīpa</t>
  </si>
  <si>
    <t>island / lamp</t>
  </si>
  <si>
    <t>sāvaka</t>
  </si>
  <si>
    <t>disciple (đệ tử)</t>
  </si>
  <si>
    <t>samaṇa</t>
  </si>
  <si>
    <t>monk (sa môn)</t>
  </si>
  <si>
    <t>sagga</t>
  </si>
  <si>
    <t>heaven</t>
  </si>
  <si>
    <t>assa</t>
  </si>
  <si>
    <t>horse</t>
  </si>
  <si>
    <t>miga</t>
  </si>
  <si>
    <t>deer</t>
  </si>
  <si>
    <t>sara</t>
  </si>
  <si>
    <t>arrow</t>
  </si>
  <si>
    <t>pāsāṇa</t>
  </si>
  <si>
    <t>rock/stone</t>
  </si>
  <si>
    <t>kakaca</t>
  </si>
  <si>
    <t>saw</t>
  </si>
  <si>
    <t>khagga</t>
  </si>
  <si>
    <t>sword</t>
  </si>
  <si>
    <t>cora</t>
  </si>
  <si>
    <t>thief</t>
  </si>
  <si>
    <t>paṇḍita</t>
  </si>
  <si>
    <t>wise man</t>
  </si>
  <si>
    <t>lamp</t>
  </si>
  <si>
    <t>island</t>
  </si>
  <si>
    <t>dhīvara</t>
  </si>
  <si>
    <t>fisherman</t>
  </si>
  <si>
    <t>maccha</t>
  </si>
  <si>
    <t>fish</t>
  </si>
  <si>
    <t>piṭaka</t>
  </si>
  <si>
    <t>basket</t>
  </si>
  <si>
    <t>amacca</t>
  </si>
  <si>
    <t>minister</t>
  </si>
  <si>
    <t>upāsaka</t>
  </si>
  <si>
    <t>lay devotee</t>
  </si>
  <si>
    <t>pāsāda</t>
  </si>
  <si>
    <t>palace</t>
  </si>
  <si>
    <t>dāraka</t>
  </si>
  <si>
    <t>child</t>
  </si>
  <si>
    <t>sāṭaka</t>
  </si>
  <si>
    <t>rajaka</t>
  </si>
  <si>
    <t>sappa</t>
  </si>
  <si>
    <t>pañha</t>
  </si>
  <si>
    <t>question</t>
  </si>
  <si>
    <t>suka / suva</t>
  </si>
  <si>
    <t>parrot</t>
  </si>
  <si>
    <t>sopāna</t>
  </si>
  <si>
    <t>stairway</t>
  </si>
  <si>
    <t>sūkara / varāha</t>
  </si>
  <si>
    <t>pig</t>
  </si>
  <si>
    <t>patati</t>
  </si>
  <si>
    <t>falls</t>
  </si>
  <si>
    <t>dhovati</t>
  </si>
  <si>
    <t>washes</t>
  </si>
  <si>
    <t>icchati</t>
  </si>
  <si>
    <t>wishes, desires</t>
  </si>
  <si>
    <t>ḍasati</t>
  </si>
  <si>
    <t>bites</t>
  </si>
  <si>
    <t>pucchati</t>
  </si>
  <si>
    <t>pakkosati</t>
  </si>
  <si>
    <t>calls, summons</t>
  </si>
  <si>
    <t>khādati</t>
  </si>
  <si>
    <t>hanati</t>
  </si>
  <si>
    <t>kills</t>
  </si>
  <si>
    <t>otarati</t>
  </si>
  <si>
    <t>descends</t>
  </si>
  <si>
    <t>nikkhamati</t>
  </si>
  <si>
    <t>leaves, sets out</t>
  </si>
  <si>
    <t>garment, clothes</t>
  </si>
  <si>
    <t>washerman thợ giặt, thợ nhuộm</t>
  </si>
  <si>
    <t>varāha</t>
  </si>
  <si>
    <t>suva</t>
  </si>
  <si>
    <t>serpent (snake)</t>
  </si>
  <si>
    <t>nhai, eat</t>
  </si>
  <si>
    <t>questions (verb)</t>
  </si>
  <si>
    <t>suka</t>
  </si>
  <si>
    <t>sūkara</t>
  </si>
  <si>
    <t>tāpasa</t>
  </si>
  <si>
    <t>ẩn sĩ, đạo sĩ tu khổ hạnh</t>
  </si>
  <si>
    <t>ācariya</t>
  </si>
  <si>
    <t>teacher</t>
  </si>
  <si>
    <t>vejja</t>
  </si>
  <si>
    <t>doctor</t>
  </si>
  <si>
    <t>sīha</t>
  </si>
  <si>
    <t>lion</t>
  </si>
  <si>
    <t>luddaka</t>
  </si>
  <si>
    <t>thợ săn</t>
  </si>
  <si>
    <t>aja</t>
  </si>
  <si>
    <t>con dê</t>
  </si>
  <si>
    <t>monkey</t>
  </si>
  <si>
    <t>lābha</t>
  </si>
  <si>
    <t>profit</t>
  </si>
  <si>
    <t>mañca</t>
  </si>
  <si>
    <t>bed</t>
  </si>
  <si>
    <t>kuddāla</t>
  </si>
  <si>
    <t>hoe</t>
  </si>
  <si>
    <t>rodati</t>
  </si>
  <si>
    <t>cry</t>
  </si>
  <si>
    <t>hasati</t>
  </si>
  <si>
    <t>laugh</t>
  </si>
  <si>
    <t>labhati</t>
  </si>
  <si>
    <t>receive</t>
  </si>
  <si>
    <t>pavisati</t>
  </si>
  <si>
    <t>enter</t>
  </si>
  <si>
    <t>dadāti</t>
  </si>
  <si>
    <t>give</t>
  </si>
  <si>
    <t>ādadāti</t>
  </si>
  <si>
    <t>take</t>
  </si>
  <si>
    <t>kīḷati</t>
  </si>
  <si>
    <t>play</t>
  </si>
  <si>
    <t>nahāyati</t>
  </si>
  <si>
    <t>tắm</t>
  </si>
  <si>
    <t>ākaḍḍhati</t>
  </si>
  <si>
    <t>drag</t>
  </si>
  <si>
    <t>pajahati</t>
  </si>
  <si>
    <t>give up</t>
  </si>
  <si>
    <t>makkaṭa</t>
  </si>
  <si>
    <t>vānara</t>
  </si>
  <si>
    <t>tathāgata</t>
  </si>
  <si>
    <t>thế tôn</t>
  </si>
  <si>
    <t>sugata</t>
  </si>
  <si>
    <t>thiện thệ</t>
  </si>
  <si>
    <t>serpent (rắn)</t>
  </si>
  <si>
    <t>beg (cầu xin)</t>
  </si>
  <si>
    <t>chủ cách</t>
  </si>
  <si>
    <t xml:space="preserve">nominative </t>
  </si>
  <si>
    <t>naro</t>
  </si>
  <si>
    <t>narā</t>
  </si>
  <si>
    <t>singular</t>
  </si>
  <si>
    <t>plural</t>
  </si>
  <si>
    <t>đối cách</t>
  </si>
  <si>
    <t>accusative</t>
  </si>
  <si>
    <t>naraṃ</t>
  </si>
  <si>
    <t>nare</t>
  </si>
  <si>
    <t>sử dụng cách</t>
  </si>
  <si>
    <t>instrumental</t>
  </si>
  <si>
    <t>narena</t>
  </si>
  <si>
    <t>xuất xứ cách</t>
  </si>
  <si>
    <t>ablative</t>
  </si>
  <si>
    <t>narā / naramhā / narasmā</t>
  </si>
  <si>
    <t>narehi / narebhi</t>
  </si>
  <si>
    <t>chỉ định cách</t>
  </si>
  <si>
    <t>dative</t>
  </si>
  <si>
    <t>narāya / narassa</t>
  </si>
  <si>
    <t>narānaṃ</t>
  </si>
  <si>
    <t>sở hữu cách</t>
  </si>
  <si>
    <t>genitive</t>
  </si>
  <si>
    <t>narassa</t>
  </si>
  <si>
    <t>Như Lai</t>
  </si>
  <si>
    <t>nāvika</t>
  </si>
  <si>
    <t>sailor</t>
  </si>
  <si>
    <t>ākāsa</t>
  </si>
  <si>
    <t>sky</t>
  </si>
  <si>
    <t>samudda</t>
  </si>
  <si>
    <t>ocean</t>
  </si>
  <si>
    <t>deity, god</t>
  </si>
  <si>
    <t>loka</t>
  </si>
  <si>
    <t>world</t>
  </si>
  <si>
    <t>āloka</t>
  </si>
  <si>
    <t>light</t>
  </si>
  <si>
    <t>sakuṇa</t>
  </si>
  <si>
    <t>bird</t>
  </si>
  <si>
    <t>kāka</t>
  </si>
  <si>
    <t>crow</t>
  </si>
  <si>
    <t>nivāsa</t>
  </si>
  <si>
    <t>house</t>
  </si>
  <si>
    <t>sappurisa</t>
  </si>
  <si>
    <t>virtuous man</t>
  </si>
  <si>
    <t>asappurisa</t>
  </si>
  <si>
    <t>wicked man</t>
  </si>
  <si>
    <t>kāya</t>
  </si>
  <si>
    <t>body</t>
  </si>
  <si>
    <t>dūta</t>
  </si>
  <si>
    <t>goṇa</t>
  </si>
  <si>
    <t>ox, bull</t>
  </si>
  <si>
    <t>āhiṇḍati</t>
  </si>
  <si>
    <t>wanders</t>
  </si>
  <si>
    <t>carati</t>
  </si>
  <si>
    <t>walks</t>
  </si>
  <si>
    <t>nisīdati</t>
  </si>
  <si>
    <t>sits</t>
  </si>
  <si>
    <t>sannipatati</t>
  </si>
  <si>
    <t>tụ hội</t>
  </si>
  <si>
    <t>viharati</t>
  </si>
  <si>
    <t>vasati</t>
  </si>
  <si>
    <t>ở, ngụ (dwell)</t>
  </si>
  <si>
    <t>jīvati</t>
  </si>
  <si>
    <t>lives</t>
  </si>
  <si>
    <t>tiṭṭhati</t>
  </si>
  <si>
    <t>stands</t>
  </si>
  <si>
    <t>uppatati</t>
  </si>
  <si>
    <t>jump up</t>
  </si>
  <si>
    <t>tarati</t>
  </si>
  <si>
    <t>uttarati</t>
  </si>
  <si>
    <t>come out (of water)</t>
  </si>
  <si>
    <t>cross (water)</t>
  </si>
  <si>
    <t>pasīdati</t>
  </si>
  <si>
    <t>hoan hỷ (is pleased with)</t>
  </si>
  <si>
    <t>messenger (sứ giả)</t>
  </si>
  <si>
    <t>sura</t>
  </si>
  <si>
    <t>deva</t>
  </si>
  <si>
    <t>come out (of water) (nổi lên mặt nước)</t>
  </si>
  <si>
    <t>định sở cách</t>
  </si>
  <si>
    <t>locative</t>
  </si>
  <si>
    <r>
      <t>nar</t>
    </r>
    <r>
      <rPr>
        <sz val="11"/>
        <color rgb="FFFF0000"/>
        <rFont val="Calibri"/>
        <family val="2"/>
        <scheme val="minor"/>
      </rPr>
      <t>o</t>
    </r>
  </si>
  <si>
    <r>
      <t>nar</t>
    </r>
    <r>
      <rPr>
        <sz val="11"/>
        <color rgb="FFFF0000"/>
        <rFont val="Calibri"/>
        <family val="2"/>
        <scheme val="minor"/>
      </rPr>
      <t>ā</t>
    </r>
  </si>
  <si>
    <r>
      <t>nara</t>
    </r>
    <r>
      <rPr>
        <sz val="11"/>
        <color rgb="FFFF0000"/>
        <rFont val="Calibri"/>
        <family val="2"/>
        <scheme val="minor"/>
      </rPr>
      <t>ṃ</t>
    </r>
  </si>
  <si>
    <r>
      <t>nar</t>
    </r>
    <r>
      <rPr>
        <sz val="11"/>
        <color rgb="FFFF0000"/>
        <rFont val="Calibri"/>
        <family val="2"/>
        <scheme val="minor"/>
      </rPr>
      <t>e</t>
    </r>
  </si>
  <si>
    <r>
      <t>nar</t>
    </r>
    <r>
      <rPr>
        <sz val="11"/>
        <color rgb="FFFF0000"/>
        <rFont val="Calibri"/>
        <family val="2"/>
        <scheme val="minor"/>
      </rPr>
      <t>ena</t>
    </r>
  </si>
  <si>
    <r>
      <t>nar</t>
    </r>
    <r>
      <rPr>
        <sz val="11"/>
        <color rgb="FFFF0000"/>
        <rFont val="Calibri"/>
        <family val="2"/>
        <scheme val="minor"/>
      </rPr>
      <t>ehi</t>
    </r>
    <r>
      <rPr>
        <sz val="11"/>
        <color theme="1"/>
        <rFont val="Calibri"/>
        <family val="2"/>
        <scheme val="minor"/>
      </rPr>
      <t xml:space="preserve"> / nar</t>
    </r>
    <r>
      <rPr>
        <sz val="11"/>
        <color rgb="FFFF0000"/>
        <rFont val="Calibri"/>
        <family val="2"/>
        <scheme val="minor"/>
      </rPr>
      <t>ebhi</t>
    </r>
  </si>
  <si>
    <r>
      <t>nar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mhā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smā</t>
    </r>
  </si>
  <si>
    <r>
      <t>nar</t>
    </r>
    <r>
      <rPr>
        <sz val="11"/>
        <color rgb="FFFF0000"/>
        <rFont val="Calibri"/>
        <family val="2"/>
        <scheme val="minor"/>
      </rPr>
      <t>āya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ssa</t>
    </r>
  </si>
  <si>
    <r>
      <t>nara</t>
    </r>
    <r>
      <rPr>
        <sz val="11"/>
        <color rgb="FFFF0000"/>
        <rFont val="Calibri"/>
        <family val="2"/>
        <scheme val="minor"/>
      </rPr>
      <t>ssa</t>
    </r>
  </si>
  <si>
    <r>
      <t>nar</t>
    </r>
    <r>
      <rPr>
        <sz val="11"/>
        <color rgb="FFFF0000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mhi</t>
    </r>
    <r>
      <rPr>
        <sz val="11"/>
        <color theme="1"/>
        <rFont val="Calibri"/>
        <family val="2"/>
        <scheme val="minor"/>
      </rPr>
      <t xml:space="preserve"> / nara</t>
    </r>
    <r>
      <rPr>
        <sz val="11"/>
        <color rgb="FFFF0000"/>
        <rFont val="Calibri"/>
        <family val="2"/>
        <scheme val="minor"/>
      </rPr>
      <t>smiṃ</t>
    </r>
  </si>
  <si>
    <r>
      <t>nar</t>
    </r>
    <r>
      <rPr>
        <sz val="11"/>
        <color rgb="FFFF0000"/>
        <rFont val="Calibri"/>
        <family val="2"/>
        <scheme val="minor"/>
      </rPr>
      <t>ānaṃ</t>
    </r>
  </si>
  <si>
    <r>
      <t>nar</t>
    </r>
    <r>
      <rPr>
        <sz val="11"/>
        <color rgb="FFFF0000"/>
        <rFont val="Calibri"/>
        <family val="2"/>
        <scheme val="minor"/>
      </rPr>
      <t>esu</t>
    </r>
  </si>
  <si>
    <t>nare / naramhi / narasmiṃ</t>
  </si>
  <si>
    <t>naresu</t>
  </si>
  <si>
    <t>nam tính tận cùng -a</t>
  </si>
  <si>
    <t>hô cách</t>
  </si>
  <si>
    <t>vocative</t>
  </si>
  <si>
    <t>trung tính tận cùng -a</t>
  </si>
  <si>
    <r>
      <t>phala</t>
    </r>
    <r>
      <rPr>
        <sz val="11"/>
        <color rgb="FFFF0000"/>
        <rFont val="Calibri"/>
        <family val="2"/>
        <scheme val="minor"/>
      </rPr>
      <t>ṃ</t>
    </r>
  </si>
  <si>
    <r>
      <t>phal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āni</t>
    </r>
  </si>
  <si>
    <r>
      <t>nar</t>
    </r>
    <r>
      <rPr>
        <sz val="11"/>
        <color rgb="FFFF0000"/>
        <rFont val="Calibri"/>
        <family val="2"/>
        <scheme val="minor"/>
      </rPr>
      <t>a</t>
    </r>
  </si>
  <si>
    <r>
      <t>phal</t>
    </r>
    <r>
      <rPr>
        <sz val="11"/>
        <color rgb="FFFF0000"/>
        <rFont val="Calibri"/>
        <family val="2"/>
        <scheme val="minor"/>
      </rPr>
      <t>a</t>
    </r>
  </si>
  <si>
    <r>
      <t>phal</t>
    </r>
    <r>
      <rPr>
        <sz val="11"/>
        <color rgb="FFFF0000"/>
        <rFont val="Calibri"/>
        <family val="2"/>
        <scheme val="minor"/>
      </rPr>
      <t>āni</t>
    </r>
  </si>
  <si>
    <t>eye</t>
  </si>
  <si>
    <t>water</t>
  </si>
  <si>
    <t>forest</t>
  </si>
  <si>
    <t>flower</t>
  </si>
  <si>
    <t>āsana</t>
  </si>
  <si>
    <t>paṇṇa</t>
  </si>
  <si>
    <t>leaf</t>
  </si>
  <si>
    <t>tiṇa</t>
  </si>
  <si>
    <t>grass</t>
  </si>
  <si>
    <t>khīra</t>
  </si>
  <si>
    <t>milk</t>
  </si>
  <si>
    <t>nagara</t>
  </si>
  <si>
    <t>city, town</t>
  </si>
  <si>
    <t>uyyāna</t>
  </si>
  <si>
    <t>park</t>
  </si>
  <si>
    <t>khetta</t>
  </si>
  <si>
    <t>field</t>
  </si>
  <si>
    <t>bhaṇḍa</t>
  </si>
  <si>
    <t>goods</t>
  </si>
  <si>
    <t>sīla</t>
  </si>
  <si>
    <t>virtue, precept</t>
  </si>
  <si>
    <t>dāna</t>
  </si>
  <si>
    <t>alms, charity</t>
  </si>
  <si>
    <t>rūpa</t>
  </si>
  <si>
    <t>dvāra</t>
  </si>
  <si>
    <t>door</t>
  </si>
  <si>
    <t>vattha</t>
  </si>
  <si>
    <t>nam</t>
  </si>
  <si>
    <t>vivarati</t>
  </si>
  <si>
    <t>opens</t>
  </si>
  <si>
    <t>naccati</t>
  </si>
  <si>
    <t>dances</t>
  </si>
  <si>
    <t>nikkhipati</t>
  </si>
  <si>
    <t>uṭṭhahati</t>
  </si>
  <si>
    <t>phusati</t>
  </si>
  <si>
    <t>touches</t>
  </si>
  <si>
    <t>anusāsati</t>
  </si>
  <si>
    <t>instructs</t>
  </si>
  <si>
    <t>ovadati</t>
  </si>
  <si>
    <t>advises</t>
  </si>
  <si>
    <t>saṃharati</t>
  </si>
  <si>
    <t>collects</t>
  </si>
  <si>
    <t>āsiñcati</t>
  </si>
  <si>
    <t>akkosati</t>
  </si>
  <si>
    <t>bhindati</t>
  </si>
  <si>
    <t>drinks</t>
  </si>
  <si>
    <t>locana</t>
  </si>
  <si>
    <t>nayana</t>
  </si>
  <si>
    <t>jala</t>
  </si>
  <si>
    <t>udaka</t>
  </si>
  <si>
    <t>vana</t>
  </si>
  <si>
    <t>puppha</t>
  </si>
  <si>
    <t>kusuma</t>
  </si>
  <si>
    <t>ghara</t>
  </si>
  <si>
    <t>geha</t>
  </si>
  <si>
    <t>trung</t>
  </si>
  <si>
    <t>arañña</t>
  </si>
  <si>
    <t>seat (ghế)</t>
  </si>
  <si>
    <t>descends (xuống một địa điểm nào đó)</t>
  </si>
  <si>
    <t>object (sắc)</t>
  </si>
  <si>
    <t>puts (để xuống)</t>
  </si>
  <si>
    <t>gets up (đứng dậy)</t>
  </si>
  <si>
    <t>tinh tấn (verb)</t>
  </si>
  <si>
    <t>sprinkles (rưới nước)</t>
  </si>
  <si>
    <t>scolds (quở, chửi)</t>
  </si>
  <si>
    <t>cloth (vải)</t>
  </si>
  <si>
    <t>breaks  (làm vỡ, phá vỡ)</t>
  </si>
  <si>
    <t>pibati</t>
  </si>
  <si>
    <t>pivati</t>
  </si>
  <si>
    <t>phalaṃ</t>
  </si>
  <si>
    <t>phalā / phalāni</t>
  </si>
  <si>
    <t>phale / phalāni</t>
  </si>
  <si>
    <r>
      <t>phal</t>
    </r>
    <r>
      <rPr>
        <sz val="11"/>
        <color rgb="FFFF0000"/>
        <rFont val="Calibri"/>
        <family val="2"/>
        <scheme val="minor"/>
      </rPr>
      <t>e</t>
    </r>
    <r>
      <rPr>
        <sz val="1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āni</t>
    </r>
  </si>
  <si>
    <t>phalena</t>
  </si>
  <si>
    <r>
      <rPr>
        <sz val="11"/>
        <rFont val="Calibri"/>
        <family val="2"/>
        <scheme val="minor"/>
      </rPr>
      <t>phal</t>
    </r>
    <r>
      <rPr>
        <sz val="11"/>
        <color rgb="FFFF0000"/>
        <rFont val="Calibri"/>
        <family val="2"/>
        <scheme val="minor"/>
      </rPr>
      <t>ena</t>
    </r>
  </si>
  <si>
    <r>
      <t>phal</t>
    </r>
    <r>
      <rPr>
        <sz val="11"/>
        <color rgb="FFFF0000"/>
        <rFont val="Calibri"/>
        <family val="2"/>
        <scheme val="minor"/>
      </rPr>
      <t>ehi</t>
    </r>
    <r>
      <rPr>
        <sz val="11"/>
        <color theme="1"/>
        <rFont val="Calibri"/>
        <family val="2"/>
        <scheme val="minor"/>
      </rPr>
      <t xml:space="preserve"> / phal</t>
    </r>
    <r>
      <rPr>
        <sz val="11"/>
        <color rgb="FFFF0000"/>
        <rFont val="Calibri"/>
        <family val="2"/>
        <scheme val="minor"/>
      </rPr>
      <t>ebhi</t>
    </r>
  </si>
  <si>
    <r>
      <t>phal</t>
    </r>
    <r>
      <rPr>
        <sz val="11"/>
        <color rgb="FFFF0000"/>
        <rFont val="Calibri"/>
        <family val="2"/>
        <scheme val="minor"/>
      </rPr>
      <t>ā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mhā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smā</t>
    </r>
  </si>
  <si>
    <r>
      <t>phal</t>
    </r>
    <r>
      <rPr>
        <sz val="11"/>
        <color rgb="FFFF0000"/>
        <rFont val="Calibri"/>
        <family val="2"/>
        <scheme val="minor"/>
      </rPr>
      <t>āya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ssa</t>
    </r>
  </si>
  <si>
    <r>
      <t>phal</t>
    </r>
    <r>
      <rPr>
        <sz val="11"/>
        <color rgb="FFFF0000"/>
        <rFont val="Calibri"/>
        <family val="2"/>
        <scheme val="minor"/>
      </rPr>
      <t>ānaṃ</t>
    </r>
  </si>
  <si>
    <r>
      <t>phala</t>
    </r>
    <r>
      <rPr>
        <sz val="11"/>
        <color rgb="FFFF0000"/>
        <rFont val="Calibri"/>
        <family val="2"/>
        <scheme val="minor"/>
      </rPr>
      <t>ssa</t>
    </r>
  </si>
  <si>
    <r>
      <t>phal</t>
    </r>
    <r>
      <rPr>
        <sz val="11"/>
        <color rgb="FFFF0000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mhi</t>
    </r>
    <r>
      <rPr>
        <sz val="11"/>
        <color theme="1"/>
        <rFont val="Calibri"/>
        <family val="2"/>
        <scheme val="minor"/>
      </rPr>
      <t xml:space="preserve"> / phala</t>
    </r>
    <r>
      <rPr>
        <sz val="11"/>
        <color rgb="FFFF0000"/>
        <rFont val="Calibri"/>
        <family val="2"/>
        <scheme val="minor"/>
      </rPr>
      <t>smiṃ</t>
    </r>
  </si>
  <si>
    <r>
      <t>phal</t>
    </r>
    <r>
      <rPr>
        <sz val="11"/>
        <color rgb="FFFF0000"/>
        <rFont val="Calibri"/>
        <family val="2"/>
        <scheme val="minor"/>
      </rPr>
      <t>esu</t>
    </r>
  </si>
  <si>
    <t>nhai/eat (for animal)</t>
  </si>
  <si>
    <t>phalehi / phalebhi</t>
  </si>
  <si>
    <t>phalā / phalamhā / phalasmā</t>
  </si>
  <si>
    <t>phalāya / phalassa</t>
  </si>
  <si>
    <t>phalānaṃ</t>
  </si>
  <si>
    <t>phalassa</t>
  </si>
  <si>
    <t>phale / phalamhi / phalasmiṃ</t>
  </si>
  <si>
    <t>phalesu</t>
  </si>
  <si>
    <t>phala</t>
  </si>
  <si>
    <t>phalāni</t>
  </si>
  <si>
    <t>bhuñjitvā</t>
  </si>
  <si>
    <t>bhutvā</t>
  </si>
  <si>
    <t>āgantvā</t>
  </si>
  <si>
    <t>āgamma</t>
  </si>
  <si>
    <t>hanitvā</t>
  </si>
  <si>
    <t>hantvā</t>
  </si>
  <si>
    <t>daditvā</t>
  </si>
  <si>
    <t>datvā</t>
  </si>
  <si>
    <t>nahāyitvā</t>
  </si>
  <si>
    <t>nahātvā</t>
  </si>
  <si>
    <t>ṭhatvā</t>
  </si>
  <si>
    <t>nikkhamitvā</t>
  </si>
  <si>
    <t>nikkhamma</t>
  </si>
  <si>
    <t>pajahitvā</t>
  </si>
  <si>
    <t>pahāya</t>
  </si>
  <si>
    <t>passitvā</t>
  </si>
  <si>
    <t>disvā</t>
  </si>
  <si>
    <t>uṭṭhahitvā</t>
  </si>
  <si>
    <t>uṭṭhāya</t>
  </si>
  <si>
    <t>oruyha</t>
  </si>
  <si>
    <t>āruyha</t>
  </si>
  <si>
    <t>ādāya</t>
  </si>
  <si>
    <t>yācitvā</t>
  </si>
  <si>
    <t>fruit</t>
  </si>
  <si>
    <t>shine</t>
  </si>
  <si>
    <t>lives (for animal)</t>
  </si>
  <si>
    <t>n</t>
  </si>
  <si>
    <t>bhu</t>
  </si>
  <si>
    <t>gam</t>
  </si>
  <si>
    <t>han</t>
  </si>
  <si>
    <t>dā</t>
  </si>
  <si>
    <t>nhā</t>
  </si>
  <si>
    <t>ṭha</t>
  </si>
  <si>
    <t>kam</t>
  </si>
  <si>
    <t>hā</t>
  </si>
  <si>
    <t>dis</t>
  </si>
  <si>
    <t>ṭhā</t>
  </si>
  <si>
    <t>ruh</t>
  </si>
  <si>
    <t>yāc</t>
  </si>
  <si>
    <t>nisīditvā</t>
  </si>
  <si>
    <t>gantvā</t>
  </si>
  <si>
    <t>saṃharitvā</t>
  </si>
  <si>
    <t>kīḷitvā</t>
  </si>
  <si>
    <t>pakkositvā</t>
  </si>
  <si>
    <t>patitvā</t>
  </si>
  <si>
    <t>pivitvā</t>
  </si>
  <si>
    <t>sannipatitvā</t>
  </si>
  <si>
    <t>dhovitvā</t>
  </si>
  <si>
    <t>āhiṇḍitvā</t>
  </si>
  <si>
    <t>rakkhitvā</t>
  </si>
  <si>
    <t>uttaritvā</t>
  </si>
  <si>
    <t>vanditvā</t>
  </si>
  <si>
    <t>bhinditvā</t>
  </si>
  <si>
    <t>akkositvā</t>
  </si>
  <si>
    <t>uppatitvā</t>
  </si>
  <si>
    <t>pasīditvā</t>
  </si>
  <si>
    <t>khāditvā</t>
  </si>
  <si>
    <t>deseti</t>
  </si>
  <si>
    <t>explain (thuyết Pháp)</t>
  </si>
  <si>
    <t>desetvā</t>
  </si>
  <si>
    <t>paharitvā</t>
  </si>
  <si>
    <t>pucchitvā</t>
  </si>
  <si>
    <t>ḍasitvā</t>
  </si>
  <si>
    <t>ovaditvā</t>
  </si>
  <si>
    <t>taritvā</t>
  </si>
  <si>
    <t>pacituṃ</t>
  </si>
  <si>
    <t>khādituṃ</t>
  </si>
  <si>
    <t>gantuṃ</t>
  </si>
  <si>
    <t>dātuṃ</t>
  </si>
  <si>
    <t>ṭhātuṃ</t>
  </si>
  <si>
    <t>pātuṃ</t>
  </si>
  <si>
    <t>pivituṃ</t>
  </si>
  <si>
    <t>kasituṃ</t>
  </si>
  <si>
    <t>pucchituṃ</t>
  </si>
  <si>
    <t>kīḷituṃ</t>
  </si>
  <si>
    <t>bhuñjituṃ</t>
  </si>
  <si>
    <t>āharituṃ</t>
  </si>
  <si>
    <t>khaṇituṃ</t>
  </si>
  <si>
    <t>passituṃ</t>
  </si>
  <si>
    <t>nahāyituṃ</t>
  </si>
  <si>
    <t>pavisituṃ</t>
  </si>
  <si>
    <t>hantuṃ</t>
  </si>
  <si>
    <t>dhovituṃ</t>
  </si>
  <si>
    <t>vandituṃ</t>
  </si>
  <si>
    <t>vijjhituṃ</t>
  </si>
  <si>
    <t>vasituṃ</t>
  </si>
  <si>
    <t>ākaḍḍhituṃ</t>
  </si>
  <si>
    <t>bhāsituṃ</t>
  </si>
  <si>
    <t>āsiñcituṃ</t>
  </si>
  <si>
    <t>phusituṃ</t>
  </si>
  <si>
    <t>nisīdituṃ</t>
  </si>
  <si>
    <t>lay devotee - nam cư sĩ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</si>
</sst>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VU Times"/>
    </font>
    <font>
      <sz val="14"/>
      <name val="VU Times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VU Times"/>
    </font>
    <font>
      <sz val="11"/>
      <color theme="0"/>
      <name val="VU Times"/>
    </font>
    <font>
      <sz val="11"/>
      <name val="VU Times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VU Times"/>
    </font>
    <font>
      <b/>
      <sz val="11"/>
      <color rgb="FFFF0000"/>
      <name val="Calibri"/>
      <family val="2"/>
      <scheme val="minor"/>
    </font>
    <font>
      <b/>
      <sz val="11"/>
      <color rgb="FFFF0000"/>
      <name val="VU Times"/>
    </font>
    <font>
      <sz val="11"/>
      <color rgb="FFFF0000"/>
      <name val="VU Times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5" fillId="2" borderId="0" xfId="1"/>
    <xf numFmtId="0" fontId="7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vertical="top"/>
    </xf>
    <xf numFmtId="0" fontId="1" fillId="0" borderId="1" xfId="0" applyFont="1" applyBorder="1"/>
    <xf numFmtId="0" fontId="5" fillId="2" borderId="1" xfId="1" applyBorder="1"/>
    <xf numFmtId="0" fontId="0" fillId="0" borderId="4" xfId="0" applyBorder="1"/>
    <xf numFmtId="0" fontId="10" fillId="0" borderId="1" xfId="0" applyFont="1" applyBorder="1"/>
    <xf numFmtId="0" fontId="2" fillId="0" borderId="1" xfId="0" applyFont="1" applyBorder="1"/>
    <xf numFmtId="0" fontId="9" fillId="4" borderId="1" xfId="0" applyFont="1" applyFill="1" applyBorder="1" applyAlignment="1">
      <alignment vertical="top"/>
    </xf>
    <xf numFmtId="0" fontId="11" fillId="0" borderId="1" xfId="0" applyFont="1" applyBorder="1"/>
    <xf numFmtId="0" fontId="12" fillId="4" borderId="1" xfId="0" applyFont="1" applyFill="1" applyBorder="1" applyAlignment="1">
      <alignment vertical="top"/>
    </xf>
    <xf numFmtId="0" fontId="6" fillId="0" borderId="1" xfId="0" applyFont="1" applyBorder="1"/>
    <xf numFmtId="0" fontId="13" fillId="0" borderId="1" xfId="0" applyFont="1" applyBorder="1"/>
    <xf numFmtId="0" fontId="14" fillId="4" borderId="1" xfId="0" applyFont="1" applyFill="1" applyBorder="1" applyAlignment="1">
      <alignment vertical="top"/>
    </xf>
    <xf numFmtId="0" fontId="15" fillId="4" borderId="1" xfId="0" applyFont="1" applyFill="1" applyBorder="1" applyAlignment="1">
      <alignment vertical="top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2">
    <cellStyle name="Bad" xfId="1" builtinId="27"/>
    <cellStyle name="Normal" xfId="0" builtinId="0"/>
  </cellStyles>
  <dxfs count="40"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0B5D7-EC87-4F94-94DA-11D3EA957F87}">
  <sheetPr codeName="Sheet1"/>
  <dimension ref="A1:B22"/>
  <sheetViews>
    <sheetView topLeftCell="A10" zoomScale="70" zoomScaleNormal="70" workbookViewId="0">
      <selection activeCell="A21" sqref="A21:B22"/>
    </sheetView>
  </sheetViews>
  <sheetFormatPr defaultRowHeight="15"/>
  <cols>
    <col min="1" max="1" width="20.28515625" style="2" bestFit="1" customWidth="1"/>
    <col min="2" max="2" width="17.42578125" style="2" bestFit="1" customWidth="1"/>
  </cols>
  <sheetData>
    <row r="1" spans="1:2">
      <c r="A1" s="2" t="s">
        <v>0</v>
      </c>
      <c r="B1" s="2" t="s">
        <v>5</v>
      </c>
    </row>
    <row r="2" spans="1:2">
      <c r="A2" s="2" t="s">
        <v>1</v>
      </c>
      <c r="B2" s="2" t="s">
        <v>2</v>
      </c>
    </row>
    <row r="3" spans="1:2">
      <c r="A3" s="2" t="s">
        <v>3</v>
      </c>
      <c r="B3" s="2" t="s">
        <v>4</v>
      </c>
    </row>
    <row r="4" spans="1:2">
      <c r="A4" s="2" t="s">
        <v>6</v>
      </c>
      <c r="B4" s="2" t="s">
        <v>8</v>
      </c>
    </row>
    <row r="5" spans="1:2">
      <c r="A5" s="2" t="s">
        <v>7</v>
      </c>
      <c r="B5" s="2" t="s">
        <v>9</v>
      </c>
    </row>
    <row r="6" spans="1:2">
      <c r="A6" s="2" t="s">
        <v>10</v>
      </c>
      <c r="B6" s="2" t="s">
        <v>11</v>
      </c>
    </row>
    <row r="7" spans="1:2">
      <c r="A7" s="2" t="s">
        <v>12</v>
      </c>
      <c r="B7" s="2" t="s">
        <v>13</v>
      </c>
    </row>
    <row r="8" spans="1:2">
      <c r="A8" s="2" t="s">
        <v>14</v>
      </c>
      <c r="B8" s="2" t="s">
        <v>15</v>
      </c>
    </row>
    <row r="9" spans="1:2">
      <c r="A9" s="2" t="s">
        <v>16</v>
      </c>
      <c r="B9" s="2" t="s">
        <v>17</v>
      </c>
    </row>
    <row r="10" spans="1:2">
      <c r="A10" s="2" t="s">
        <v>18</v>
      </c>
      <c r="B10" s="2" t="s">
        <v>19</v>
      </c>
    </row>
    <row r="11" spans="1:2">
      <c r="A11" s="2" t="s">
        <v>20</v>
      </c>
      <c r="B11" s="2" t="s">
        <v>21</v>
      </c>
    </row>
    <row r="12" spans="1:2">
      <c r="A12" s="2" t="s">
        <v>22</v>
      </c>
      <c r="B12" s="2" t="s">
        <v>23</v>
      </c>
    </row>
    <row r="13" spans="1:2">
      <c r="A13" s="2" t="s">
        <v>24</v>
      </c>
      <c r="B13" s="2" t="s">
        <v>25</v>
      </c>
    </row>
    <row r="14" spans="1:2">
      <c r="A14" s="2" t="s">
        <v>26</v>
      </c>
      <c r="B14" s="2" t="s">
        <v>27</v>
      </c>
    </row>
    <row r="15" spans="1:2">
      <c r="A15" s="2" t="s">
        <v>28</v>
      </c>
      <c r="B15" s="2" t="s">
        <v>29</v>
      </c>
    </row>
    <row r="16" spans="1:2">
      <c r="A16" s="2" t="s">
        <v>30</v>
      </c>
      <c r="B16" s="2" t="s">
        <v>31</v>
      </c>
    </row>
    <row r="17" spans="1:2">
      <c r="A17" s="2" t="s">
        <v>32</v>
      </c>
      <c r="B17" s="2" t="s">
        <v>33</v>
      </c>
    </row>
    <row r="18" spans="1:2">
      <c r="A18" s="2" t="s">
        <v>34</v>
      </c>
      <c r="B18" s="2" t="s">
        <v>35</v>
      </c>
    </row>
    <row r="19" spans="1:2">
      <c r="A19" s="2" t="s">
        <v>36</v>
      </c>
      <c r="B19" s="2" t="s">
        <v>37</v>
      </c>
    </row>
    <row r="20" spans="1:2">
      <c r="A20" s="2" t="s">
        <v>38</v>
      </c>
      <c r="B20" s="2" t="s">
        <v>39</v>
      </c>
    </row>
    <row r="21" spans="1:2">
      <c r="A21" s="2" t="s">
        <v>224</v>
      </c>
      <c r="B21" s="2" t="s">
        <v>225</v>
      </c>
    </row>
    <row r="22" spans="1:2">
      <c r="A22" s="2" t="s">
        <v>226</v>
      </c>
      <c r="B22" s="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AAE6B-A6F5-4BF9-B651-827D82A596F8}">
  <sheetPr codeName="Sheet2"/>
  <dimension ref="A1:C26"/>
  <sheetViews>
    <sheetView topLeftCell="A4" zoomScale="160" zoomScaleNormal="160" workbookViewId="0">
      <selection activeCell="B25" sqref="B25"/>
    </sheetView>
  </sheetViews>
  <sheetFormatPr defaultRowHeight="15"/>
  <cols>
    <col min="2" max="2" width="55.28515625" customWidth="1"/>
    <col min="3" max="3" width="14.28515625" style="2" bestFit="1" customWidth="1"/>
  </cols>
  <sheetData>
    <row r="1" spans="1:3">
      <c r="A1">
        <f t="shared" ref="A1:A26" ca="1" si="0">RAND()</f>
        <v>0.25063708009427732</v>
      </c>
      <c r="B1" t="s">
        <v>78</v>
      </c>
      <c r="C1" s="2" t="s">
        <v>79</v>
      </c>
    </row>
    <row r="2" spans="1:3">
      <c r="A2">
        <f t="shared" ca="1" si="0"/>
        <v>0.31702067304752968</v>
      </c>
      <c r="B2" t="s">
        <v>82</v>
      </c>
      <c r="C2" s="2" t="s">
        <v>83</v>
      </c>
    </row>
    <row r="3" spans="1:3">
      <c r="A3">
        <f t="shared" ca="1" si="0"/>
        <v>0.82841338863467817</v>
      </c>
      <c r="B3" t="s">
        <v>80</v>
      </c>
      <c r="C3" s="2" t="s">
        <v>81</v>
      </c>
    </row>
    <row r="4" spans="1:3">
      <c r="A4">
        <f t="shared" ca="1" si="0"/>
        <v>5.5325758006639303E-2</v>
      </c>
      <c r="B4" t="s">
        <v>76</v>
      </c>
      <c r="C4" s="2" t="s">
        <v>77</v>
      </c>
    </row>
    <row r="5" spans="1:3">
      <c r="A5">
        <f t="shared" ca="1" si="0"/>
        <v>0.24439073879028639</v>
      </c>
      <c r="B5" t="s">
        <v>88</v>
      </c>
      <c r="C5" s="2" t="s">
        <v>89</v>
      </c>
    </row>
    <row r="6" spans="1:3">
      <c r="A6">
        <f t="shared" ca="1" si="0"/>
        <v>0.255919560771805</v>
      </c>
      <c r="B6" t="s">
        <v>50</v>
      </c>
      <c r="C6" s="2" t="s">
        <v>51</v>
      </c>
    </row>
    <row r="7" spans="1:3">
      <c r="A7">
        <f t="shared" ca="1" si="0"/>
        <v>0.83649389282278541</v>
      </c>
      <c r="B7" t="s">
        <v>92</v>
      </c>
      <c r="C7" s="2" t="s">
        <v>93</v>
      </c>
    </row>
    <row r="8" spans="1:3">
      <c r="A8">
        <f t="shared" ca="1" si="0"/>
        <v>0.52533395452912601</v>
      </c>
      <c r="B8" t="s">
        <v>74</v>
      </c>
      <c r="C8" s="2" t="s">
        <v>75</v>
      </c>
    </row>
    <row r="9" spans="1:3">
      <c r="A9">
        <f t="shared" ca="1" si="0"/>
        <v>0.17300709013653992</v>
      </c>
      <c r="B9" t="s">
        <v>64</v>
      </c>
      <c r="C9" s="2" t="s">
        <v>65</v>
      </c>
    </row>
    <row r="10" spans="1:3">
      <c r="A10">
        <f t="shared" ca="1" si="0"/>
        <v>9.9477862926023675E-2</v>
      </c>
      <c r="B10" t="s">
        <v>67</v>
      </c>
      <c r="C10" s="2" t="s">
        <v>68</v>
      </c>
    </row>
    <row r="11" spans="1:3">
      <c r="A11">
        <f t="shared" ca="1" si="0"/>
        <v>0.32948836614888855</v>
      </c>
      <c r="B11" t="s">
        <v>58</v>
      </c>
      <c r="C11" s="2" t="s">
        <v>59</v>
      </c>
    </row>
    <row r="12" spans="1:3">
      <c r="A12">
        <f t="shared" ca="1" si="0"/>
        <v>6.3457645115086225E-2</v>
      </c>
      <c r="B12" t="s">
        <v>90</v>
      </c>
      <c r="C12" s="2" t="s">
        <v>91</v>
      </c>
    </row>
    <row r="13" spans="1:3">
      <c r="A13">
        <f t="shared" ca="1" si="0"/>
        <v>0.17120136364041405</v>
      </c>
      <c r="B13" t="s">
        <v>46</v>
      </c>
      <c r="C13" s="2" t="s">
        <v>47</v>
      </c>
    </row>
    <row r="14" spans="1:3">
      <c r="A14">
        <f t="shared" ca="1" si="0"/>
        <v>0.27670043134007283</v>
      </c>
      <c r="B14" t="s">
        <v>60</v>
      </c>
      <c r="C14" s="2" t="s">
        <v>61</v>
      </c>
    </row>
    <row r="15" spans="1:3">
      <c r="A15">
        <f t="shared" ca="1" si="0"/>
        <v>0.24121930817378068</v>
      </c>
      <c r="B15" t="s">
        <v>42</v>
      </c>
      <c r="C15" s="2" t="s">
        <v>43</v>
      </c>
    </row>
    <row r="16" spans="1:3">
      <c r="A16">
        <f t="shared" ca="1" si="0"/>
        <v>0.95681252417017948</v>
      </c>
      <c r="B16" t="s">
        <v>55</v>
      </c>
      <c r="C16" s="2" t="s">
        <v>53</v>
      </c>
    </row>
    <row r="17" spans="1:3">
      <c r="A17">
        <f t="shared" ca="1" si="0"/>
        <v>7.6328359931935652E-2</v>
      </c>
      <c r="B17" t="s">
        <v>56</v>
      </c>
      <c r="C17" s="2" t="s">
        <v>57</v>
      </c>
    </row>
    <row r="18" spans="1:3">
      <c r="A18">
        <f t="shared" ca="1" si="0"/>
        <v>0.2991342694487148</v>
      </c>
      <c r="B18" t="s">
        <v>66</v>
      </c>
      <c r="C18" s="2" t="s">
        <v>94</v>
      </c>
    </row>
    <row r="19" spans="1:3">
      <c r="A19">
        <f t="shared" ca="1" si="0"/>
        <v>0.45672872628745709</v>
      </c>
      <c r="B19" t="s">
        <v>62</v>
      </c>
      <c r="C19" s="2" t="s">
        <v>63</v>
      </c>
    </row>
    <row r="20" spans="1:3">
      <c r="A20">
        <f t="shared" ca="1" si="0"/>
        <v>0.71410504475235881</v>
      </c>
      <c r="B20" t="s">
        <v>86</v>
      </c>
      <c r="C20" s="2" t="s">
        <v>87</v>
      </c>
    </row>
    <row r="21" spans="1:3">
      <c r="A21">
        <f t="shared" ca="1" si="0"/>
        <v>0.69380833967789468</v>
      </c>
      <c r="B21" t="s">
        <v>84</v>
      </c>
      <c r="C21" s="2" t="s">
        <v>85</v>
      </c>
    </row>
    <row r="22" spans="1:3">
      <c r="A22">
        <f t="shared" ca="1" si="0"/>
        <v>0.39976629642587003</v>
      </c>
      <c r="B22" t="s">
        <v>48</v>
      </c>
      <c r="C22" s="2" t="s">
        <v>49</v>
      </c>
    </row>
    <row r="23" spans="1:3">
      <c r="A23">
        <f t="shared" ca="1" si="0"/>
        <v>0.17054329393363288</v>
      </c>
      <c r="B23" t="s">
        <v>52</v>
      </c>
      <c r="C23" s="2" t="s">
        <v>53</v>
      </c>
    </row>
    <row r="24" spans="1:3">
      <c r="A24">
        <f t="shared" ca="1" si="0"/>
        <v>0.2881623184846579</v>
      </c>
      <c r="B24" t="s">
        <v>44</v>
      </c>
      <c r="C24" s="2" t="s">
        <v>45</v>
      </c>
    </row>
    <row r="25" spans="1:3">
      <c r="A25">
        <f t="shared" ca="1" si="0"/>
        <v>0.30486230488805577</v>
      </c>
      <c r="B25" t="s">
        <v>54</v>
      </c>
      <c r="C25" s="2" t="s">
        <v>53</v>
      </c>
    </row>
    <row r="26" spans="1:3">
      <c r="A26">
        <f t="shared" ca="1" si="0"/>
        <v>4.1958779059764084E-2</v>
      </c>
      <c r="B26" t="s">
        <v>40</v>
      </c>
      <c r="C26" s="2" t="s">
        <v>41</v>
      </c>
    </row>
  </sheetData>
  <sortState xmlns:xlrd2="http://schemas.microsoft.com/office/spreadsheetml/2017/richdata2" ref="A1:C27">
    <sortCondition descending="1" ref="A1:A2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66D0-3941-4BCB-AC3E-5F2E005350BB}">
  <sheetPr codeName="Sheet3"/>
  <dimension ref="A1:C17"/>
  <sheetViews>
    <sheetView workbookViewId="0">
      <selection activeCell="B11" sqref="B11"/>
    </sheetView>
  </sheetViews>
  <sheetFormatPr defaultRowHeight="15"/>
  <cols>
    <col min="3" max="3" width="11.28515625" style="1" bestFit="1" customWidth="1"/>
  </cols>
  <sheetData>
    <row r="1" spans="1:3">
      <c r="A1">
        <f t="shared" ref="A1:A17" ca="1" si="0">RAND()</f>
        <v>0.88645246954089951</v>
      </c>
      <c r="B1" t="s">
        <v>127</v>
      </c>
      <c r="C1" s="1" t="s">
        <v>128</v>
      </c>
    </row>
    <row r="2" spans="1:3">
      <c r="A2">
        <f t="shared" ca="1" si="0"/>
        <v>7.1500320264382466E-2</v>
      </c>
      <c r="B2" t="s">
        <v>111</v>
      </c>
      <c r="C2" s="1" t="s">
        <v>112</v>
      </c>
    </row>
    <row r="3" spans="1:3">
      <c r="A3">
        <f t="shared" ca="1" si="0"/>
        <v>0.47681380937331941</v>
      </c>
      <c r="B3" t="s">
        <v>95</v>
      </c>
      <c r="C3" s="1" t="s">
        <v>96</v>
      </c>
    </row>
    <row r="4" spans="1:3">
      <c r="A4">
        <f t="shared" ca="1" si="0"/>
        <v>0.67661734211347913</v>
      </c>
      <c r="B4" t="s">
        <v>107</v>
      </c>
      <c r="C4" s="1" t="s">
        <v>108</v>
      </c>
    </row>
    <row r="5" spans="1:3">
      <c r="A5">
        <f t="shared" ca="1" si="0"/>
        <v>0.50809648538471563</v>
      </c>
      <c r="B5" t="s">
        <v>113</v>
      </c>
      <c r="C5" s="1" t="s">
        <v>114</v>
      </c>
    </row>
    <row r="6" spans="1:3">
      <c r="A6">
        <f t="shared" ca="1" si="0"/>
        <v>3.8082804885012256E-2</v>
      </c>
      <c r="B6" t="s">
        <v>119</v>
      </c>
      <c r="C6" s="1" t="s">
        <v>120</v>
      </c>
    </row>
    <row r="7" spans="1:3">
      <c r="A7">
        <f t="shared" ca="1" si="0"/>
        <v>2.2800246125233348E-2</v>
      </c>
      <c r="B7" t="s">
        <v>125</v>
      </c>
      <c r="C7" s="1" t="s">
        <v>126</v>
      </c>
    </row>
    <row r="8" spans="1:3">
      <c r="A8">
        <f t="shared" ca="1" si="0"/>
        <v>0.7523260499080785</v>
      </c>
      <c r="B8" t="s">
        <v>121</v>
      </c>
      <c r="C8" s="1" t="s">
        <v>122</v>
      </c>
    </row>
    <row r="9" spans="1:3">
      <c r="A9">
        <f t="shared" ca="1" si="0"/>
        <v>0.71015719170279601</v>
      </c>
      <c r="B9" t="s">
        <v>97</v>
      </c>
      <c r="C9" s="1" t="s">
        <v>98</v>
      </c>
    </row>
    <row r="10" spans="1:3">
      <c r="A10">
        <f t="shared" ca="1" si="0"/>
        <v>0.75999020094327152</v>
      </c>
      <c r="B10" t="s">
        <v>105</v>
      </c>
      <c r="C10" s="1" t="s">
        <v>106</v>
      </c>
    </row>
    <row r="11" spans="1:3">
      <c r="A11">
        <f t="shared" ca="1" si="0"/>
        <v>0.63512040479083964</v>
      </c>
      <c r="B11" t="s">
        <v>103</v>
      </c>
      <c r="C11" s="1" t="s">
        <v>104</v>
      </c>
    </row>
    <row r="12" spans="1:3">
      <c r="A12">
        <f t="shared" ca="1" si="0"/>
        <v>5.1229004512394094E-2</v>
      </c>
      <c r="B12" t="s">
        <v>101</v>
      </c>
      <c r="C12" s="1" t="s">
        <v>102</v>
      </c>
    </row>
    <row r="13" spans="1:3">
      <c r="A13">
        <f t="shared" ca="1" si="0"/>
        <v>0.33328775677121403</v>
      </c>
      <c r="B13" t="s">
        <v>117</v>
      </c>
      <c r="C13" s="1" t="s">
        <v>118</v>
      </c>
    </row>
    <row r="14" spans="1:3">
      <c r="A14">
        <f t="shared" ca="1" si="0"/>
        <v>0.38439518378130577</v>
      </c>
      <c r="B14" t="s">
        <v>115</v>
      </c>
      <c r="C14" s="1" t="s">
        <v>116</v>
      </c>
    </row>
    <row r="15" spans="1:3">
      <c r="A15">
        <f t="shared" ca="1" si="0"/>
        <v>0.77353304752407703</v>
      </c>
      <c r="B15" t="s">
        <v>109</v>
      </c>
      <c r="C15" s="1" t="s">
        <v>110</v>
      </c>
    </row>
    <row r="16" spans="1:3">
      <c r="A16">
        <f t="shared" ca="1" si="0"/>
        <v>0.88702344078708339</v>
      </c>
      <c r="B16" t="s">
        <v>123</v>
      </c>
      <c r="C16" s="1" t="s">
        <v>124</v>
      </c>
    </row>
    <row r="17" spans="1:3">
      <c r="A17">
        <f t="shared" ca="1" si="0"/>
        <v>0.96986400643663084</v>
      </c>
      <c r="B17" t="s">
        <v>99</v>
      </c>
      <c r="C17" s="1" t="s">
        <v>100</v>
      </c>
    </row>
  </sheetData>
  <sortState xmlns:xlrd2="http://schemas.microsoft.com/office/spreadsheetml/2017/richdata2" ref="A1:C18">
    <sortCondition ref="A1:A1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88BA-E4B6-4A51-9F1C-006DBC1F0687}">
  <sheetPr codeName="Sheet4"/>
  <dimension ref="A1:C24"/>
  <sheetViews>
    <sheetView zoomScale="145" zoomScaleNormal="145" workbookViewId="0">
      <selection activeCell="E15" sqref="E15"/>
    </sheetView>
  </sheetViews>
  <sheetFormatPr defaultRowHeight="15"/>
  <cols>
    <col min="2" max="2" width="35" style="1" customWidth="1"/>
    <col min="3" max="3" width="36.85546875" style="2" bestFit="1" customWidth="1"/>
  </cols>
  <sheetData>
    <row r="1" spans="1:3" ht="18">
      <c r="A1">
        <f t="shared" ref="A1:A24" ca="1" si="0">RAND()</f>
        <v>0.38181843471009691</v>
      </c>
      <c r="B1" s="3" t="s">
        <v>172</v>
      </c>
      <c r="C1" s="4" t="s">
        <v>173</v>
      </c>
    </row>
    <row r="2" spans="1:3" ht="18">
      <c r="A2">
        <f t="shared" ca="1" si="0"/>
        <v>0.80993167293240032</v>
      </c>
      <c r="B2" s="3" t="s">
        <v>167</v>
      </c>
      <c r="C2" s="4" t="s">
        <v>179</v>
      </c>
    </row>
    <row r="3" spans="1:3" ht="18">
      <c r="A3">
        <f t="shared" ca="1" si="0"/>
        <v>0.92980809377549278</v>
      </c>
      <c r="B3" s="3" t="s">
        <v>135</v>
      </c>
      <c r="C3" s="4" t="s">
        <v>136</v>
      </c>
    </row>
    <row r="4" spans="1:3" ht="18">
      <c r="A4">
        <f t="shared" ca="1" si="0"/>
        <v>0.80360277678231629</v>
      </c>
      <c r="B4" s="3" t="s">
        <v>158</v>
      </c>
      <c r="C4" s="4" t="s">
        <v>159</v>
      </c>
    </row>
    <row r="5" spans="1:3" ht="18">
      <c r="A5">
        <f t="shared" ca="1" si="0"/>
        <v>0.58677834878514501</v>
      </c>
      <c r="B5" s="3" t="s">
        <v>147</v>
      </c>
      <c r="C5" s="4" t="s">
        <v>178</v>
      </c>
    </row>
    <row r="6" spans="1:3" ht="18">
      <c r="A6">
        <f t="shared" ca="1" si="0"/>
        <v>3.219048114553702E-2</v>
      </c>
      <c r="B6" s="3" t="s">
        <v>168</v>
      </c>
      <c r="C6" s="4" t="s">
        <v>169</v>
      </c>
    </row>
    <row r="7" spans="1:3" ht="18">
      <c r="A7">
        <f t="shared" ca="1" si="0"/>
        <v>8.5724848071918047E-2</v>
      </c>
      <c r="B7" s="3" t="s">
        <v>146</v>
      </c>
      <c r="C7" s="4" t="s">
        <v>175</v>
      </c>
    </row>
    <row r="8" spans="1:3" ht="18">
      <c r="A8">
        <f t="shared" ca="1" si="0"/>
        <v>0.20904483694752352</v>
      </c>
      <c r="B8" s="3" t="s">
        <v>148</v>
      </c>
      <c r="C8" s="4" t="s">
        <v>149</v>
      </c>
    </row>
    <row r="9" spans="1:3" ht="18">
      <c r="A9">
        <f t="shared" ca="1" si="0"/>
        <v>0.26274893113868114</v>
      </c>
      <c r="B9" s="3" t="s">
        <v>150</v>
      </c>
      <c r="C9" s="4" t="s">
        <v>151</v>
      </c>
    </row>
    <row r="10" spans="1:3" ht="18">
      <c r="A10">
        <f t="shared" ca="1" si="0"/>
        <v>0.52440085772325451</v>
      </c>
      <c r="B10" s="3" t="s">
        <v>141</v>
      </c>
      <c r="C10" s="4" t="s">
        <v>142</v>
      </c>
    </row>
    <row r="11" spans="1:3" ht="18">
      <c r="A11">
        <f t="shared" ca="1" si="0"/>
        <v>0.13181167614980205</v>
      </c>
      <c r="B11" s="3" t="s">
        <v>152</v>
      </c>
      <c r="C11" s="4" t="s">
        <v>153</v>
      </c>
    </row>
    <row r="12" spans="1:3" ht="18">
      <c r="A12">
        <f t="shared" ca="1" si="0"/>
        <v>0.40086592244005703</v>
      </c>
      <c r="B12" s="3" t="s">
        <v>170</v>
      </c>
      <c r="C12" s="4" t="s">
        <v>171</v>
      </c>
    </row>
    <row r="13" spans="1:3" ht="18">
      <c r="A13">
        <f t="shared" ca="1" si="0"/>
        <v>0.21498454059467675</v>
      </c>
      <c r="B13" s="3" t="s">
        <v>156</v>
      </c>
      <c r="C13" s="4" t="s">
        <v>157</v>
      </c>
    </row>
    <row r="14" spans="1:3" ht="18">
      <c r="A14">
        <f t="shared" ca="1" si="0"/>
        <v>0.20547862234395153</v>
      </c>
      <c r="B14" s="3" t="s">
        <v>164</v>
      </c>
      <c r="C14" s="4" t="s">
        <v>180</v>
      </c>
    </row>
    <row r="15" spans="1:3" ht="18">
      <c r="A15">
        <f t="shared" ca="1" si="0"/>
        <v>0.86984263099105363</v>
      </c>
      <c r="B15" s="3" t="s">
        <v>162</v>
      </c>
      <c r="C15" s="4" t="s">
        <v>163</v>
      </c>
    </row>
    <row r="16" spans="1:3" ht="18">
      <c r="A16">
        <f t="shared" ca="1" si="0"/>
        <v>0.3558543765897727</v>
      </c>
      <c r="B16" s="3" t="s">
        <v>143</v>
      </c>
      <c r="C16" s="4" t="s">
        <v>144</v>
      </c>
    </row>
    <row r="17" spans="1:3" ht="18">
      <c r="A17">
        <f t="shared" ca="1" si="0"/>
        <v>0.44885646794837974</v>
      </c>
      <c r="B17" s="3" t="s">
        <v>165</v>
      </c>
      <c r="C17" s="4" t="s">
        <v>166</v>
      </c>
    </row>
    <row r="18" spans="1:3" ht="18">
      <c r="A18">
        <f t="shared" ca="1" si="0"/>
        <v>0.10822234376057294</v>
      </c>
      <c r="B18" s="3" t="s">
        <v>133</v>
      </c>
      <c r="C18" s="4" t="s">
        <v>134</v>
      </c>
    </row>
    <row r="19" spans="1:3" ht="18">
      <c r="A19">
        <f t="shared" ca="1" si="0"/>
        <v>0.57487554391325035</v>
      </c>
      <c r="B19" s="3" t="s">
        <v>131</v>
      </c>
      <c r="C19" s="4" t="s">
        <v>132</v>
      </c>
    </row>
    <row r="20" spans="1:3" ht="18">
      <c r="A20">
        <f t="shared" ca="1" si="0"/>
        <v>0.31447680175176873</v>
      </c>
      <c r="B20" s="3" t="s">
        <v>139</v>
      </c>
      <c r="C20" s="4" t="s">
        <v>140</v>
      </c>
    </row>
    <row r="21" spans="1:3" ht="18">
      <c r="A21">
        <f t="shared" ca="1" si="0"/>
        <v>0.1238866980320571</v>
      </c>
      <c r="B21" s="3" t="s">
        <v>145</v>
      </c>
      <c r="C21" s="4" t="s">
        <v>174</v>
      </c>
    </row>
    <row r="22" spans="1:3" ht="18">
      <c r="A22">
        <f t="shared" ca="1" si="0"/>
        <v>0.54226609655747027</v>
      </c>
      <c r="B22" s="3" t="s">
        <v>154</v>
      </c>
      <c r="C22" s="4" t="s">
        <v>155</v>
      </c>
    </row>
    <row r="23" spans="1:3" ht="18">
      <c r="A23">
        <f t="shared" ca="1" si="0"/>
        <v>0.81447332664539429</v>
      </c>
      <c r="B23" s="3" t="s">
        <v>137</v>
      </c>
      <c r="C23" s="4" t="s">
        <v>138</v>
      </c>
    </row>
    <row r="24" spans="1:3" ht="18">
      <c r="A24">
        <f t="shared" ca="1" si="0"/>
        <v>0.32582420694731495</v>
      </c>
      <c r="B24" s="3" t="s">
        <v>160</v>
      </c>
      <c r="C24" s="4" t="s">
        <v>161</v>
      </c>
    </row>
  </sheetData>
  <sortState xmlns:xlrd2="http://schemas.microsoft.com/office/spreadsheetml/2017/richdata2" ref="A1:C25">
    <sortCondition ref="A1:A25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72F13-2F67-42A1-973D-8EB49BA2370D}">
  <sheetPr codeName="Sheet5"/>
  <dimension ref="A1:E21"/>
  <sheetViews>
    <sheetView topLeftCell="A12" zoomScale="310" zoomScaleNormal="310" workbookViewId="0">
      <selection activeCell="A22" sqref="A22"/>
    </sheetView>
  </sheetViews>
  <sheetFormatPr defaultRowHeight="15"/>
  <cols>
    <col min="3" max="3" width="15.28515625" style="1" bestFit="1" customWidth="1"/>
    <col min="4" max="4" width="20.7109375" style="2" bestFit="1" customWidth="1"/>
  </cols>
  <sheetData>
    <row r="1" spans="1:5">
      <c r="A1" t="s">
        <v>200</v>
      </c>
      <c r="B1" t="b">
        <f t="shared" ref="B1:B21" si="0">A1=C1</f>
        <v>1</v>
      </c>
      <c r="C1" s="1" t="s">
        <v>200</v>
      </c>
      <c r="D1" s="2" t="s">
        <v>201</v>
      </c>
      <c r="E1">
        <f t="shared" ref="E1:E21" ca="1" si="1">RAND()</f>
        <v>0.19005427085863635</v>
      </c>
    </row>
    <row r="2" spans="1:5">
      <c r="A2" t="s">
        <v>189</v>
      </c>
      <c r="B2" t="b">
        <f t="shared" si="0"/>
        <v>1</v>
      </c>
      <c r="C2" s="1" t="s">
        <v>189</v>
      </c>
      <c r="D2" s="2" t="s">
        <v>190</v>
      </c>
      <c r="E2">
        <f t="shared" ca="1" si="1"/>
        <v>0.95388502093381111</v>
      </c>
    </row>
    <row r="3" spans="1:5">
      <c r="A3" t="s">
        <v>191</v>
      </c>
      <c r="B3" t="b">
        <f t="shared" si="0"/>
        <v>1</v>
      </c>
      <c r="C3" s="1" t="s">
        <v>191</v>
      </c>
      <c r="D3" s="2" t="s">
        <v>192</v>
      </c>
      <c r="E3">
        <f t="shared" ca="1" si="1"/>
        <v>0.99764652306472545</v>
      </c>
    </row>
    <row r="4" spans="1:5">
      <c r="A4" t="s">
        <v>206</v>
      </c>
      <c r="B4" t="b">
        <f t="shared" si="0"/>
        <v>1</v>
      </c>
      <c r="C4" s="1" t="s">
        <v>206</v>
      </c>
      <c r="D4" s="2" t="s">
        <v>207</v>
      </c>
      <c r="E4">
        <f t="shared" ca="1" si="1"/>
        <v>0.96497176599544587</v>
      </c>
    </row>
    <row r="5" spans="1:5">
      <c r="A5" t="s">
        <v>185</v>
      </c>
      <c r="B5" t="b">
        <f t="shared" si="0"/>
        <v>1</v>
      </c>
      <c r="C5" s="1" t="s">
        <v>185</v>
      </c>
      <c r="D5" s="2" t="s">
        <v>186</v>
      </c>
      <c r="E5">
        <f t="shared" ca="1" si="1"/>
        <v>0.68397166100585671</v>
      </c>
    </row>
    <row r="6" spans="1:5">
      <c r="A6" t="s">
        <v>204</v>
      </c>
      <c r="B6" t="b">
        <f t="shared" si="0"/>
        <v>1</v>
      </c>
      <c r="C6" s="1" t="s">
        <v>204</v>
      </c>
      <c r="D6" s="2" t="s">
        <v>205</v>
      </c>
      <c r="E6">
        <f t="shared" ca="1" si="1"/>
        <v>0.32979549717278633</v>
      </c>
    </row>
    <row r="7" spans="1:5">
      <c r="A7" t="s">
        <v>216</v>
      </c>
      <c r="B7" t="b">
        <f t="shared" si="0"/>
        <v>1</v>
      </c>
      <c r="C7" s="1" t="s">
        <v>216</v>
      </c>
      <c r="D7" s="2" t="s">
        <v>217</v>
      </c>
      <c r="E7">
        <f t="shared" ca="1" si="1"/>
        <v>0.96915185788805314</v>
      </c>
    </row>
    <row r="8" spans="1:5">
      <c r="A8" t="s">
        <v>214</v>
      </c>
      <c r="B8" t="b">
        <f t="shared" si="0"/>
        <v>1</v>
      </c>
      <c r="C8" s="1" t="s">
        <v>214</v>
      </c>
      <c r="D8" s="2" t="s">
        <v>215</v>
      </c>
      <c r="E8">
        <f t="shared" ca="1" si="1"/>
        <v>0.36567244700360524</v>
      </c>
    </row>
    <row r="9" spans="1:5">
      <c r="A9" t="s">
        <v>210</v>
      </c>
      <c r="B9" t="b">
        <f t="shared" si="0"/>
        <v>1</v>
      </c>
      <c r="C9" s="1" t="s">
        <v>210</v>
      </c>
      <c r="D9" s="2" t="s">
        <v>211</v>
      </c>
      <c r="E9">
        <f t="shared" ca="1" si="1"/>
        <v>0.32238685984726223</v>
      </c>
    </row>
    <row r="10" spans="1:5">
      <c r="A10" t="s">
        <v>212</v>
      </c>
      <c r="B10" t="b">
        <f t="shared" si="0"/>
        <v>1</v>
      </c>
      <c r="C10" s="1" t="s">
        <v>212</v>
      </c>
      <c r="D10" s="2" t="s">
        <v>213</v>
      </c>
      <c r="E10">
        <f t="shared" ca="1" si="1"/>
        <v>6.8512676027081554E-2</v>
      </c>
    </row>
    <row r="11" spans="1:5">
      <c r="A11" t="s">
        <v>183</v>
      </c>
      <c r="B11" t="b">
        <f t="shared" si="0"/>
        <v>1</v>
      </c>
      <c r="C11" s="1" t="s">
        <v>183</v>
      </c>
      <c r="D11" s="2" t="s">
        <v>184</v>
      </c>
      <c r="E11">
        <f t="shared" ca="1" si="1"/>
        <v>0.55669868286496982</v>
      </c>
    </row>
    <row r="12" spans="1:5">
      <c r="A12" t="s">
        <v>222</v>
      </c>
      <c r="B12" t="b">
        <f t="shared" si="0"/>
        <v>1</v>
      </c>
      <c r="C12" s="1" t="s">
        <v>222</v>
      </c>
      <c r="D12" s="2" t="s">
        <v>195</v>
      </c>
      <c r="E12">
        <f t="shared" ca="1" si="1"/>
        <v>0.84001379101282636</v>
      </c>
    </row>
    <row r="13" spans="1:5">
      <c r="A13" t="s">
        <v>202</v>
      </c>
      <c r="B13" t="b">
        <f t="shared" si="0"/>
        <v>1</v>
      </c>
      <c r="C13" s="1" t="s">
        <v>202</v>
      </c>
      <c r="D13" s="2" t="s">
        <v>203</v>
      </c>
      <c r="E13">
        <f t="shared" ca="1" si="1"/>
        <v>0.91876280676574329</v>
      </c>
    </row>
    <row r="14" spans="1:5">
      <c r="A14" t="s">
        <v>208</v>
      </c>
      <c r="B14" t="b">
        <f t="shared" si="0"/>
        <v>1</v>
      </c>
      <c r="C14" s="1" t="s">
        <v>208</v>
      </c>
      <c r="D14" s="2" t="s">
        <v>209</v>
      </c>
      <c r="E14">
        <f t="shared" ca="1" si="1"/>
        <v>0.99474546243837569</v>
      </c>
    </row>
    <row r="15" spans="1:5">
      <c r="A15" t="s">
        <v>220</v>
      </c>
      <c r="B15" t="b">
        <f t="shared" si="0"/>
        <v>1</v>
      </c>
      <c r="C15" s="1" t="s">
        <v>220</v>
      </c>
      <c r="D15" s="2" t="s">
        <v>221</v>
      </c>
      <c r="E15">
        <f t="shared" ca="1" si="1"/>
        <v>0.40569815866344461</v>
      </c>
    </row>
    <row r="16" spans="1:5">
      <c r="A16" t="s">
        <v>218</v>
      </c>
      <c r="B16" t="b">
        <f t="shared" si="0"/>
        <v>1</v>
      </c>
      <c r="C16" s="1" t="s">
        <v>218</v>
      </c>
      <c r="D16" s="2" t="s">
        <v>219</v>
      </c>
      <c r="E16">
        <f t="shared" ca="1" si="1"/>
        <v>9.7928937926071713E-2</v>
      </c>
    </row>
    <row r="17" spans="1:5">
      <c r="A17" t="s">
        <v>196</v>
      </c>
      <c r="B17" t="b">
        <f t="shared" si="0"/>
        <v>1</v>
      </c>
      <c r="C17" s="1" t="s">
        <v>196</v>
      </c>
      <c r="D17" s="2" t="s">
        <v>197</v>
      </c>
      <c r="E17">
        <f t="shared" ca="1" si="1"/>
        <v>0.90099474872963459</v>
      </c>
    </row>
    <row r="18" spans="1:5">
      <c r="A18" t="s">
        <v>187</v>
      </c>
      <c r="B18" t="b">
        <f t="shared" si="0"/>
        <v>1</v>
      </c>
      <c r="C18" s="1" t="s">
        <v>187</v>
      </c>
      <c r="D18" s="2" t="s">
        <v>188</v>
      </c>
      <c r="E18">
        <f t="shared" ca="1" si="1"/>
        <v>0.54998464439986194</v>
      </c>
    </row>
    <row r="19" spans="1:5">
      <c r="A19" t="s">
        <v>223</v>
      </c>
      <c r="B19" t="b">
        <f t="shared" si="0"/>
        <v>1</v>
      </c>
      <c r="C19" s="1" t="s">
        <v>223</v>
      </c>
      <c r="D19" s="2" t="s">
        <v>195</v>
      </c>
      <c r="E19">
        <f t="shared" ca="1" si="1"/>
        <v>0.92479846478020944</v>
      </c>
    </row>
    <row r="20" spans="1:5">
      <c r="A20" t="s">
        <v>198</v>
      </c>
      <c r="B20" t="b">
        <f t="shared" si="0"/>
        <v>1</v>
      </c>
      <c r="C20" s="1" t="s">
        <v>198</v>
      </c>
      <c r="D20" s="2" t="s">
        <v>199</v>
      </c>
      <c r="E20">
        <f t="shared" ca="1" si="1"/>
        <v>0.26446677558972487</v>
      </c>
    </row>
    <row r="21" spans="1:5">
      <c r="A21" t="s">
        <v>193</v>
      </c>
      <c r="B21" t="b">
        <f t="shared" si="0"/>
        <v>1</v>
      </c>
      <c r="C21" s="1" t="s">
        <v>193</v>
      </c>
      <c r="D21" s="2" t="s">
        <v>194</v>
      </c>
      <c r="E21">
        <f t="shared" ca="1" si="1"/>
        <v>0.74182387455166654</v>
      </c>
    </row>
  </sheetData>
  <sortState xmlns:xlrd2="http://schemas.microsoft.com/office/spreadsheetml/2017/richdata2" ref="B1:E26">
    <sortCondition ref="E12:E2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877F-8C70-43E9-896D-83BD63E96487}">
  <sheetPr codeName="Sheet6"/>
  <dimension ref="A1:E27"/>
  <sheetViews>
    <sheetView topLeftCell="A14" zoomScale="265" zoomScaleNormal="265" workbookViewId="0">
      <selection activeCell="C19" sqref="C19"/>
    </sheetView>
  </sheetViews>
  <sheetFormatPr defaultRowHeight="15"/>
  <cols>
    <col min="2" max="2" width="22.85546875" style="1" customWidth="1"/>
    <col min="3" max="3" width="17.28515625" style="2" customWidth="1"/>
  </cols>
  <sheetData>
    <row r="1" spans="1:5">
      <c r="A1">
        <f t="shared" ref="A1:A27" ca="1" si="0">RAND()</f>
        <v>2.8476151729535215E-2</v>
      </c>
      <c r="B1" s="1" t="s">
        <v>299</v>
      </c>
      <c r="C1" s="2" t="s">
        <v>300</v>
      </c>
      <c r="D1" s="6" t="b">
        <f t="shared" ref="D1:D27" si="1">E1=B1</f>
        <v>1</v>
      </c>
      <c r="E1" t="s">
        <v>299</v>
      </c>
    </row>
    <row r="2" spans="1:5">
      <c r="A2">
        <f t="shared" ca="1" si="0"/>
        <v>0.32114351028046395</v>
      </c>
      <c r="B2" s="1" t="s">
        <v>255</v>
      </c>
      <c r="C2" s="2" t="s">
        <v>256</v>
      </c>
      <c r="D2" s="6" t="b">
        <f t="shared" si="1"/>
        <v>1</v>
      </c>
      <c r="E2" t="s">
        <v>255</v>
      </c>
    </row>
    <row r="3" spans="1:5">
      <c r="A3">
        <f t="shared" ca="1" si="0"/>
        <v>0.10433276494813748</v>
      </c>
      <c r="B3" s="1" t="s">
        <v>262</v>
      </c>
      <c r="C3" s="2" t="s">
        <v>263</v>
      </c>
      <c r="D3" s="6" t="b">
        <f t="shared" si="1"/>
        <v>1</v>
      </c>
      <c r="E3" t="s">
        <v>262</v>
      </c>
    </row>
    <row r="4" spans="1:5">
      <c r="A4">
        <f t="shared" ca="1" si="0"/>
        <v>0.61276104647934893</v>
      </c>
      <c r="B4" s="1" t="s">
        <v>285</v>
      </c>
      <c r="C4" s="2" t="s">
        <v>286</v>
      </c>
      <c r="D4" s="6" t="b">
        <f t="shared" si="1"/>
        <v>1</v>
      </c>
      <c r="E4" t="s">
        <v>285</v>
      </c>
    </row>
    <row r="5" spans="1:5">
      <c r="A5">
        <f t="shared" ca="1" si="0"/>
        <v>0.37924210692790916</v>
      </c>
      <c r="B5" s="1" t="s">
        <v>257</v>
      </c>
      <c r="C5" s="2" t="s">
        <v>258</v>
      </c>
      <c r="D5" s="6" t="b">
        <f t="shared" si="1"/>
        <v>1</v>
      </c>
      <c r="E5" t="s">
        <v>257</v>
      </c>
    </row>
    <row r="6" spans="1:5">
      <c r="A6">
        <f t="shared" ca="1" si="0"/>
        <v>0.80707293107704348</v>
      </c>
      <c r="B6" s="1" t="s">
        <v>266</v>
      </c>
      <c r="C6" s="2" t="s">
        <v>267</v>
      </c>
      <c r="D6" s="6" t="b">
        <f t="shared" si="1"/>
        <v>1</v>
      </c>
      <c r="E6" t="s">
        <v>266</v>
      </c>
    </row>
    <row r="7" spans="1:5">
      <c r="A7">
        <f t="shared" ca="1" si="0"/>
        <v>0.19474510800158262</v>
      </c>
      <c r="B7" s="1" t="s">
        <v>292</v>
      </c>
      <c r="C7" s="2" t="s">
        <v>293</v>
      </c>
      <c r="D7" s="6" t="b">
        <f t="shared" si="1"/>
        <v>1</v>
      </c>
      <c r="E7" t="s">
        <v>292</v>
      </c>
    </row>
    <row r="8" spans="1:5">
      <c r="A8">
        <f t="shared" ca="1" si="0"/>
        <v>9.0671426929433974E-4</v>
      </c>
      <c r="B8" s="1" t="s">
        <v>296</v>
      </c>
      <c r="C8" s="2" t="s">
        <v>297</v>
      </c>
      <c r="D8" s="6" t="b">
        <f t="shared" si="1"/>
        <v>1</v>
      </c>
      <c r="E8" t="s">
        <v>296</v>
      </c>
    </row>
    <row r="9" spans="1:5">
      <c r="A9">
        <f t="shared" ca="1" si="0"/>
        <v>0.45380006854870436</v>
      </c>
      <c r="B9" s="1" t="s">
        <v>294</v>
      </c>
      <c r="C9" s="2" t="s">
        <v>295</v>
      </c>
      <c r="D9" s="6" t="b">
        <f t="shared" si="1"/>
        <v>1</v>
      </c>
      <c r="E9" t="s">
        <v>294</v>
      </c>
    </row>
    <row r="10" spans="1:5">
      <c r="A10">
        <f t="shared" ca="1" si="0"/>
        <v>0.16571981671296399</v>
      </c>
      <c r="B10" s="1" t="s">
        <v>274</v>
      </c>
      <c r="C10" s="2" t="s">
        <v>275</v>
      </c>
      <c r="D10" s="6" t="b">
        <f t="shared" si="1"/>
        <v>1</v>
      </c>
      <c r="E10" t="s">
        <v>274</v>
      </c>
    </row>
    <row r="11" spans="1:5">
      <c r="A11">
        <f t="shared" ca="1" si="0"/>
        <v>0.37249149457153752</v>
      </c>
      <c r="B11" s="1" t="s">
        <v>287</v>
      </c>
      <c r="C11" s="2" t="s">
        <v>288</v>
      </c>
      <c r="D11" s="6" t="b">
        <f t="shared" si="1"/>
        <v>1</v>
      </c>
      <c r="E11" t="s">
        <v>287</v>
      </c>
    </row>
    <row r="12" spans="1:5">
      <c r="A12">
        <f t="shared" ca="1" si="0"/>
        <v>0.63342893566820602</v>
      </c>
      <c r="B12" s="1" t="s">
        <v>279</v>
      </c>
      <c r="C12" s="2" t="s">
        <v>280</v>
      </c>
      <c r="D12" s="6" t="b">
        <f t="shared" si="1"/>
        <v>1</v>
      </c>
      <c r="E12" t="s">
        <v>279</v>
      </c>
    </row>
    <row r="13" spans="1:5">
      <c r="A13">
        <f t="shared" ca="1" si="0"/>
        <v>0.49150235630925576</v>
      </c>
      <c r="B13" s="1" t="s">
        <v>278</v>
      </c>
      <c r="C13" s="2" t="s">
        <v>304</v>
      </c>
      <c r="D13" s="6" t="b">
        <f t="shared" si="1"/>
        <v>1</v>
      </c>
      <c r="E13" t="s">
        <v>278</v>
      </c>
    </row>
    <row r="14" spans="1:5">
      <c r="A14">
        <f t="shared" ca="1" si="0"/>
        <v>0.59989704586720671</v>
      </c>
      <c r="B14" s="1" t="s">
        <v>305</v>
      </c>
      <c r="C14" s="2" t="s">
        <v>261</v>
      </c>
      <c r="D14" s="6" t="b">
        <f t="shared" si="1"/>
        <v>1</v>
      </c>
      <c r="E14" t="s">
        <v>305</v>
      </c>
    </row>
    <row r="15" spans="1:5">
      <c r="A15">
        <f t="shared" ca="1" si="0"/>
        <v>0.94575494048506215</v>
      </c>
      <c r="B15" s="1" t="s">
        <v>302</v>
      </c>
      <c r="C15" s="2" t="s">
        <v>303</v>
      </c>
      <c r="D15" s="6" t="b">
        <f t="shared" si="1"/>
        <v>1</v>
      </c>
      <c r="E15" t="s">
        <v>302</v>
      </c>
    </row>
    <row r="16" spans="1:5">
      <c r="A16">
        <f t="shared" ca="1" si="0"/>
        <v>0.29495794723622804</v>
      </c>
      <c r="B16" s="1" t="s">
        <v>289</v>
      </c>
      <c r="C16" s="2" t="s">
        <v>291</v>
      </c>
      <c r="D16" s="6" t="b">
        <f t="shared" si="1"/>
        <v>1</v>
      </c>
      <c r="E16" t="s">
        <v>289</v>
      </c>
    </row>
    <row r="17" spans="1:5">
      <c r="A17">
        <f t="shared" ca="1" si="0"/>
        <v>0.13163830331386439</v>
      </c>
      <c r="B17" s="1" t="s">
        <v>268</v>
      </c>
      <c r="C17" s="2" t="s">
        <v>269</v>
      </c>
      <c r="D17" s="6" t="b">
        <f t="shared" si="1"/>
        <v>1</v>
      </c>
      <c r="E17" t="s">
        <v>268</v>
      </c>
    </row>
    <row r="18" spans="1:5">
      <c r="A18">
        <f t="shared" ca="1" si="0"/>
        <v>0.28072548116464746</v>
      </c>
      <c r="B18" s="1" t="s">
        <v>290</v>
      </c>
      <c r="C18" s="2" t="s">
        <v>450</v>
      </c>
      <c r="D18" s="6" t="b">
        <f t="shared" si="1"/>
        <v>1</v>
      </c>
      <c r="E18" t="s">
        <v>290</v>
      </c>
    </row>
    <row r="19" spans="1:5">
      <c r="A19">
        <f t="shared" ca="1" si="0"/>
        <v>0.76332035765065909</v>
      </c>
      <c r="B19" s="1" t="s">
        <v>272</v>
      </c>
      <c r="C19" s="2" t="s">
        <v>273</v>
      </c>
      <c r="D19" s="6" t="b">
        <f t="shared" si="1"/>
        <v>1</v>
      </c>
      <c r="E19" t="s">
        <v>272</v>
      </c>
    </row>
    <row r="20" spans="1:5">
      <c r="A20">
        <f t="shared" ca="1" si="0"/>
        <v>0.76776725510686472</v>
      </c>
      <c r="B20" s="1" t="s">
        <v>298</v>
      </c>
      <c r="C20" s="2" t="s">
        <v>301</v>
      </c>
      <c r="D20" s="6" t="b">
        <f t="shared" si="1"/>
        <v>1</v>
      </c>
      <c r="E20" t="s">
        <v>298</v>
      </c>
    </row>
    <row r="21" spans="1:5">
      <c r="A21">
        <f t="shared" ca="1" si="0"/>
        <v>4.3810160839587886E-2</v>
      </c>
      <c r="B21" s="1" t="s">
        <v>276</v>
      </c>
      <c r="C21" s="2" t="s">
        <v>277</v>
      </c>
      <c r="D21" s="6" t="b">
        <f t="shared" si="1"/>
        <v>1</v>
      </c>
      <c r="E21" t="s">
        <v>276</v>
      </c>
    </row>
    <row r="22" spans="1:5">
      <c r="A22">
        <f t="shared" ca="1" si="0"/>
        <v>0.17183845153499944</v>
      </c>
      <c r="B22" s="1" t="s">
        <v>264</v>
      </c>
      <c r="C22" s="2" t="s">
        <v>265</v>
      </c>
      <c r="D22" s="6" t="b">
        <f t="shared" si="1"/>
        <v>1</v>
      </c>
      <c r="E22" t="s">
        <v>264</v>
      </c>
    </row>
    <row r="23" spans="1:5">
      <c r="A23">
        <f t="shared" ca="1" si="0"/>
        <v>1.3557581892812531E-2</v>
      </c>
      <c r="B23" s="1" t="s">
        <v>259</v>
      </c>
      <c r="C23" s="2" t="s">
        <v>260</v>
      </c>
      <c r="D23" s="6" t="b">
        <f t="shared" si="1"/>
        <v>1</v>
      </c>
      <c r="E23" t="s">
        <v>259</v>
      </c>
    </row>
    <row r="24" spans="1:5">
      <c r="A24">
        <f t="shared" ca="1" si="0"/>
        <v>0.20145821308742151</v>
      </c>
      <c r="B24" s="1" t="s">
        <v>270</v>
      </c>
      <c r="C24" s="2" t="s">
        <v>271</v>
      </c>
      <c r="D24" s="6" t="b">
        <f t="shared" si="1"/>
        <v>1</v>
      </c>
      <c r="E24" t="s">
        <v>270</v>
      </c>
    </row>
    <row r="25" spans="1:5">
      <c r="A25">
        <f t="shared" ca="1" si="0"/>
        <v>0.67666646316951351</v>
      </c>
      <c r="B25" s="1" t="s">
        <v>281</v>
      </c>
      <c r="C25" s="2" t="s">
        <v>282</v>
      </c>
      <c r="D25" s="6" t="b">
        <f t="shared" si="1"/>
        <v>1</v>
      </c>
      <c r="E25" t="s">
        <v>281</v>
      </c>
    </row>
    <row r="26" spans="1:5">
      <c r="A26">
        <f t="shared" ca="1" si="0"/>
        <v>0.43660252887992046</v>
      </c>
      <c r="B26" s="1" t="s">
        <v>306</v>
      </c>
      <c r="C26" s="2" t="s">
        <v>261</v>
      </c>
      <c r="D26" s="6" t="b">
        <f t="shared" si="1"/>
        <v>1</v>
      </c>
      <c r="E26" t="s">
        <v>306</v>
      </c>
    </row>
    <row r="27" spans="1:5">
      <c r="A27">
        <f t="shared" ca="1" si="0"/>
        <v>2.9711148107779417E-3</v>
      </c>
      <c r="B27" s="1" t="s">
        <v>283</v>
      </c>
      <c r="C27" s="2" t="s">
        <v>284</v>
      </c>
      <c r="D27" s="6" t="b">
        <f t="shared" si="1"/>
        <v>1</v>
      </c>
      <c r="E27" t="s">
        <v>283</v>
      </c>
    </row>
  </sheetData>
  <sortState xmlns:xlrd2="http://schemas.microsoft.com/office/spreadsheetml/2017/richdata2" ref="A1:D27">
    <sortCondition descending="1" ref="A1:A27"/>
  </sortState>
  <conditionalFormatting sqref="D1:D27">
    <cfRule type="cellIs" dxfId="39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B232-4259-4AF1-AA06-35A739784E9A}">
  <sheetPr codeName="Sheet7"/>
  <dimension ref="A1:F37"/>
  <sheetViews>
    <sheetView zoomScale="175" zoomScaleNormal="175" workbookViewId="0">
      <selection activeCell="B11" sqref="B11"/>
    </sheetView>
  </sheetViews>
  <sheetFormatPr defaultRowHeight="15"/>
  <cols>
    <col min="1" max="1" width="8.42578125" customWidth="1"/>
    <col min="2" max="2" width="24.140625" bestFit="1" customWidth="1"/>
    <col min="3" max="3" width="5.5703125" style="1" bestFit="1" customWidth="1"/>
    <col min="4" max="4" width="23.5703125" bestFit="1" customWidth="1"/>
  </cols>
  <sheetData>
    <row r="1" spans="1:6">
      <c r="A1" s="5">
        <f t="shared" ref="A1:A37" ca="1" si="0">RAND()</f>
        <v>0.1329649701705834</v>
      </c>
      <c r="B1" s="8" t="s">
        <v>400</v>
      </c>
      <c r="C1" s="8"/>
      <c r="D1" s="7" t="s">
        <v>378</v>
      </c>
      <c r="E1" s="10" t="b">
        <f t="shared" ref="E1:E37" si="1">F1=B1</f>
        <v>1</v>
      </c>
      <c r="F1" s="5" t="s">
        <v>400</v>
      </c>
    </row>
    <row r="2" spans="1:6">
      <c r="A2" s="5">
        <f t="shared" ca="1" si="0"/>
        <v>0.14439551103527581</v>
      </c>
      <c r="B2" s="8" t="s">
        <v>340</v>
      </c>
      <c r="C2" s="8" t="s">
        <v>388</v>
      </c>
      <c r="D2" s="7" t="s">
        <v>341</v>
      </c>
      <c r="E2" s="10" t="b">
        <f t="shared" si="1"/>
        <v>1</v>
      </c>
      <c r="F2" s="5" t="s">
        <v>340</v>
      </c>
    </row>
    <row r="3" spans="1:6">
      <c r="A3" s="5">
        <f t="shared" ca="1" si="0"/>
        <v>0.56718350168365272</v>
      </c>
      <c r="B3" s="8" t="s">
        <v>344</v>
      </c>
      <c r="C3" s="8" t="s">
        <v>388</v>
      </c>
      <c r="D3" s="7" t="s">
        <v>345</v>
      </c>
      <c r="E3" s="10" t="b">
        <f t="shared" si="1"/>
        <v>1</v>
      </c>
      <c r="F3" s="5" t="s">
        <v>344</v>
      </c>
    </row>
    <row r="4" spans="1:6">
      <c r="A4" s="5">
        <f t="shared" ca="1" si="0"/>
        <v>0.4425927648273279</v>
      </c>
      <c r="B4" s="8" t="s">
        <v>387</v>
      </c>
      <c r="C4" s="8" t="s">
        <v>388</v>
      </c>
      <c r="D4" s="7" t="s">
        <v>271</v>
      </c>
      <c r="E4" s="10" t="b">
        <f t="shared" si="1"/>
        <v>1</v>
      </c>
      <c r="F4" s="5" t="s">
        <v>387</v>
      </c>
    </row>
    <row r="5" spans="1:6">
      <c r="A5" s="5">
        <f t="shared" ca="1" si="0"/>
        <v>0.58503786889818488</v>
      </c>
      <c r="B5" s="8" t="s">
        <v>365</v>
      </c>
      <c r="C5" s="8"/>
      <c r="D5" s="7" t="s">
        <v>393</v>
      </c>
      <c r="E5" s="10" t="b">
        <f t="shared" si="1"/>
        <v>1</v>
      </c>
      <c r="F5" s="5" t="s">
        <v>365</v>
      </c>
    </row>
    <row r="6" spans="1:6">
      <c r="A6" s="5">
        <f t="shared" ca="1" si="0"/>
        <v>0.70007288260967815</v>
      </c>
      <c r="B6" s="8" t="s">
        <v>382</v>
      </c>
      <c r="C6" s="8" t="s">
        <v>388</v>
      </c>
      <c r="D6" s="7" t="s">
        <v>334</v>
      </c>
      <c r="E6" s="10" t="b">
        <f t="shared" si="1"/>
        <v>1</v>
      </c>
      <c r="F6" s="5" t="s">
        <v>382</v>
      </c>
    </row>
    <row r="7" spans="1:6">
      <c r="A7" s="5">
        <f t="shared" ca="1" si="0"/>
        <v>5.5839533462580304E-2</v>
      </c>
      <c r="B7" s="8" t="s">
        <v>371</v>
      </c>
      <c r="C7" s="8"/>
      <c r="D7" s="7" t="s">
        <v>372</v>
      </c>
      <c r="E7" s="10" t="b">
        <f t="shared" si="1"/>
        <v>1</v>
      </c>
      <c r="F7" s="5" t="s">
        <v>371</v>
      </c>
    </row>
    <row r="8" spans="1:6">
      <c r="A8" s="5">
        <f t="shared" ca="1" si="0"/>
        <v>1.8114698138459229E-2</v>
      </c>
      <c r="B8" s="8" t="s">
        <v>359</v>
      </c>
      <c r="C8" s="8" t="s">
        <v>388</v>
      </c>
      <c r="D8" s="7" t="s">
        <v>398</v>
      </c>
      <c r="E8" s="10" t="b">
        <f t="shared" si="1"/>
        <v>1</v>
      </c>
      <c r="F8" s="5" t="s">
        <v>359</v>
      </c>
    </row>
    <row r="9" spans="1:6">
      <c r="A9" s="5">
        <f t="shared" ca="1" si="0"/>
        <v>0.13077376446091693</v>
      </c>
      <c r="B9" s="8" t="s">
        <v>363</v>
      </c>
      <c r="C9" s="8"/>
      <c r="D9" s="7" t="s">
        <v>364</v>
      </c>
      <c r="E9" s="10" t="b">
        <f t="shared" si="1"/>
        <v>1</v>
      </c>
      <c r="F9" s="5" t="s">
        <v>363</v>
      </c>
    </row>
    <row r="10" spans="1:6">
      <c r="A10" s="5">
        <f t="shared" ca="1" si="0"/>
        <v>0.76585346129906606</v>
      </c>
      <c r="B10" s="8" t="s">
        <v>383</v>
      </c>
      <c r="C10" s="8" t="s">
        <v>388</v>
      </c>
      <c r="D10" s="7" t="s">
        <v>335</v>
      </c>
      <c r="E10" s="10" t="b">
        <f t="shared" si="1"/>
        <v>1</v>
      </c>
      <c r="F10" s="5" t="s">
        <v>383</v>
      </c>
    </row>
    <row r="11" spans="1:6">
      <c r="A11" s="5">
        <f t="shared" ca="1" si="0"/>
        <v>0.28466545265794163</v>
      </c>
      <c r="B11" s="8" t="s">
        <v>338</v>
      </c>
      <c r="C11" s="8" t="s">
        <v>388</v>
      </c>
      <c r="D11" s="7" t="s">
        <v>339</v>
      </c>
      <c r="E11" s="10" t="b">
        <f t="shared" si="1"/>
        <v>1</v>
      </c>
      <c r="F11" s="5" t="s">
        <v>338</v>
      </c>
    </row>
    <row r="12" spans="1:6">
      <c r="A12" s="5">
        <f t="shared" ca="1" si="0"/>
        <v>0.45702994703353483</v>
      </c>
      <c r="B12" s="8" t="s">
        <v>366</v>
      </c>
      <c r="C12" s="8"/>
      <c r="D12" s="7" t="s">
        <v>394</v>
      </c>
      <c r="E12" s="10" t="b">
        <f t="shared" si="1"/>
        <v>1</v>
      </c>
      <c r="F12" s="5" t="s">
        <v>366</v>
      </c>
    </row>
    <row r="13" spans="1:6">
      <c r="A13" s="5">
        <f t="shared" ca="1" si="0"/>
        <v>0.69488420017960228</v>
      </c>
      <c r="B13" s="8" t="s">
        <v>389</v>
      </c>
      <c r="C13" s="8" t="s">
        <v>388</v>
      </c>
      <c r="D13" s="7" t="s">
        <v>335</v>
      </c>
      <c r="E13" s="10" t="b">
        <f t="shared" si="1"/>
        <v>1</v>
      </c>
      <c r="F13" s="5" t="s">
        <v>389</v>
      </c>
    </row>
    <row r="14" spans="1:6">
      <c r="A14" s="5">
        <f t="shared" ca="1" si="0"/>
        <v>0.99506357965286585</v>
      </c>
      <c r="B14" s="8" t="s">
        <v>367</v>
      </c>
      <c r="C14" s="8"/>
      <c r="D14" s="7" t="s">
        <v>368</v>
      </c>
      <c r="E14" s="10" t="b">
        <f t="shared" si="1"/>
        <v>1</v>
      </c>
      <c r="F14" s="5" t="s">
        <v>367</v>
      </c>
    </row>
    <row r="15" spans="1:6">
      <c r="A15" s="5">
        <f t="shared" ca="1" si="0"/>
        <v>0.1912030385947151</v>
      </c>
      <c r="B15" s="8" t="s">
        <v>348</v>
      </c>
      <c r="C15" s="8" t="s">
        <v>388</v>
      </c>
      <c r="D15" s="7" t="s">
        <v>349</v>
      </c>
      <c r="E15" s="10" t="b">
        <f t="shared" si="1"/>
        <v>1</v>
      </c>
      <c r="F15" s="5" t="s">
        <v>348</v>
      </c>
    </row>
    <row r="16" spans="1:6">
      <c r="A16" s="5">
        <f t="shared" ca="1" si="0"/>
        <v>0.34634044009594445</v>
      </c>
      <c r="B16" s="8" t="s">
        <v>337</v>
      </c>
      <c r="C16" s="8" t="s">
        <v>388</v>
      </c>
      <c r="D16" s="7" t="s">
        <v>390</v>
      </c>
      <c r="E16" s="10" t="b">
        <f t="shared" si="1"/>
        <v>1</v>
      </c>
      <c r="F16" s="5" t="s">
        <v>337</v>
      </c>
    </row>
    <row r="17" spans="1:6">
      <c r="A17" s="5">
        <f t="shared" ca="1" si="0"/>
        <v>0.24257312649715335</v>
      </c>
      <c r="B17" s="8" t="s">
        <v>386</v>
      </c>
      <c r="C17" s="8" t="s">
        <v>388</v>
      </c>
      <c r="D17" s="7" t="s">
        <v>271</v>
      </c>
      <c r="E17" s="10" t="b">
        <f t="shared" si="1"/>
        <v>1</v>
      </c>
      <c r="F17" s="5" t="s">
        <v>386</v>
      </c>
    </row>
    <row r="18" spans="1:6">
      <c r="A18" s="5">
        <f t="shared" ca="1" si="0"/>
        <v>0.76927209598458191</v>
      </c>
      <c r="B18" s="8" t="s">
        <v>361</v>
      </c>
      <c r="C18" s="8"/>
      <c r="D18" s="7" t="s">
        <v>362</v>
      </c>
      <c r="E18" s="10" t="b">
        <f t="shared" si="1"/>
        <v>1</v>
      </c>
      <c r="F18" s="5" t="s">
        <v>361</v>
      </c>
    </row>
    <row r="19" spans="1:6">
      <c r="A19" s="5">
        <f t="shared" ca="1" si="0"/>
        <v>0.76960520193074422</v>
      </c>
      <c r="B19" s="8" t="s">
        <v>376</v>
      </c>
      <c r="C19" s="8"/>
      <c r="D19" s="7" t="s">
        <v>397</v>
      </c>
      <c r="E19" s="10" t="b">
        <f t="shared" si="1"/>
        <v>1</v>
      </c>
      <c r="F19" s="5" t="s">
        <v>376</v>
      </c>
    </row>
    <row r="20" spans="1:6">
      <c r="A20" s="5">
        <f t="shared" ca="1" si="0"/>
        <v>0.47054245372186465</v>
      </c>
      <c r="B20" s="8" t="s">
        <v>373</v>
      </c>
      <c r="C20" s="8"/>
      <c r="D20" s="7" t="s">
        <v>374</v>
      </c>
      <c r="E20" s="10" t="b">
        <f t="shared" si="1"/>
        <v>1</v>
      </c>
      <c r="F20" s="5" t="s">
        <v>373</v>
      </c>
    </row>
    <row r="21" spans="1:6">
      <c r="A21" s="5">
        <f t="shared" ca="1" si="0"/>
        <v>0.75573206330828391</v>
      </c>
      <c r="B21" s="8" t="s">
        <v>381</v>
      </c>
      <c r="C21" s="8" t="s">
        <v>388</v>
      </c>
      <c r="D21" s="7" t="s">
        <v>334</v>
      </c>
      <c r="E21" s="10" t="b">
        <f t="shared" si="1"/>
        <v>1</v>
      </c>
      <c r="F21" s="5" t="s">
        <v>381</v>
      </c>
    </row>
    <row r="22" spans="1:6">
      <c r="A22" s="5">
        <f t="shared" ca="1" si="0"/>
        <v>5.998278999911566E-2</v>
      </c>
      <c r="B22" s="8" t="s">
        <v>379</v>
      </c>
      <c r="C22" s="8" t="s">
        <v>388</v>
      </c>
      <c r="D22" s="7" t="s">
        <v>333</v>
      </c>
      <c r="E22" s="10" t="b">
        <f t="shared" si="1"/>
        <v>1</v>
      </c>
      <c r="F22" s="5" t="s">
        <v>379</v>
      </c>
    </row>
    <row r="23" spans="1:6">
      <c r="A23" s="5">
        <f t="shared" ca="1" si="0"/>
        <v>0.49608228233089269</v>
      </c>
      <c r="B23" s="8" t="s">
        <v>380</v>
      </c>
      <c r="C23" s="8" t="s">
        <v>388</v>
      </c>
      <c r="D23" s="7" t="s">
        <v>333</v>
      </c>
      <c r="E23" s="10" t="b">
        <f t="shared" si="1"/>
        <v>1</v>
      </c>
      <c r="F23" s="5" t="s">
        <v>380</v>
      </c>
    </row>
    <row r="24" spans="1:6">
      <c r="A24" s="5">
        <f t="shared" ca="1" si="0"/>
        <v>0.79820454588846113</v>
      </c>
      <c r="B24" s="8" t="s">
        <v>385</v>
      </c>
      <c r="C24" s="8" t="s">
        <v>388</v>
      </c>
      <c r="D24" s="7" t="s">
        <v>336</v>
      </c>
      <c r="E24" s="10" t="b">
        <f t="shared" si="1"/>
        <v>1</v>
      </c>
      <c r="F24" s="5" t="s">
        <v>385</v>
      </c>
    </row>
    <row r="25" spans="1:6">
      <c r="A25" s="5">
        <f t="shared" ca="1" si="0"/>
        <v>0.43364635029793996</v>
      </c>
      <c r="B25" s="8" t="s">
        <v>350</v>
      </c>
      <c r="C25" s="8" t="s">
        <v>388</v>
      </c>
      <c r="D25" s="7" t="s">
        <v>351</v>
      </c>
      <c r="E25" s="10" t="b">
        <f t="shared" si="1"/>
        <v>1</v>
      </c>
      <c r="F25" s="5" t="s">
        <v>350</v>
      </c>
    </row>
    <row r="26" spans="1:6">
      <c r="A26" s="5">
        <f t="shared" ca="1" si="0"/>
        <v>0.1992905820877694</v>
      </c>
      <c r="B26" s="8" t="s">
        <v>377</v>
      </c>
      <c r="C26" s="8"/>
      <c r="D26" s="7" t="s">
        <v>399</v>
      </c>
      <c r="E26" s="10" t="b">
        <f t="shared" si="1"/>
        <v>1</v>
      </c>
      <c r="F26" s="5" t="s">
        <v>377</v>
      </c>
    </row>
    <row r="27" spans="1:6">
      <c r="A27" s="5">
        <f t="shared" ca="1" si="0"/>
        <v>0.34301585243310306</v>
      </c>
      <c r="B27" s="8" t="s">
        <v>356</v>
      </c>
      <c r="C27" s="8" t="s">
        <v>388</v>
      </c>
      <c r="D27" s="7" t="s">
        <v>392</v>
      </c>
      <c r="E27" s="10" t="b">
        <f t="shared" si="1"/>
        <v>1</v>
      </c>
      <c r="F27" s="5" t="s">
        <v>356</v>
      </c>
    </row>
    <row r="28" spans="1:6">
      <c r="A28" s="5">
        <f t="shared" ca="1" si="0"/>
        <v>0.51372602060874184</v>
      </c>
      <c r="B28" s="8" t="s">
        <v>346</v>
      </c>
      <c r="C28" s="8" t="s">
        <v>388</v>
      </c>
      <c r="D28" s="7" t="s">
        <v>347</v>
      </c>
      <c r="E28" s="10" t="b">
        <f t="shared" si="1"/>
        <v>1</v>
      </c>
      <c r="F28" s="5" t="s">
        <v>346</v>
      </c>
    </row>
    <row r="29" spans="1:6">
      <c r="A29" s="5">
        <f t="shared" ca="1" si="0"/>
        <v>1.4595505914571372E-2</v>
      </c>
      <c r="B29" s="8" t="s">
        <v>384</v>
      </c>
      <c r="C29" s="8" t="s">
        <v>388</v>
      </c>
      <c r="D29" s="7" t="s">
        <v>336</v>
      </c>
      <c r="E29" s="10" t="b">
        <f t="shared" si="1"/>
        <v>1</v>
      </c>
      <c r="F29" s="5" t="s">
        <v>384</v>
      </c>
    </row>
    <row r="30" spans="1:6">
      <c r="A30" s="5">
        <f t="shared" ca="1" si="0"/>
        <v>0.38661022854423976</v>
      </c>
      <c r="B30" s="9" t="s">
        <v>366</v>
      </c>
      <c r="C30" s="8"/>
      <c r="D30" s="7" t="s">
        <v>395</v>
      </c>
      <c r="E30" s="10" t="b">
        <f t="shared" si="1"/>
        <v>1</v>
      </c>
      <c r="F30" s="5" t="s">
        <v>366</v>
      </c>
    </row>
    <row r="31" spans="1:6">
      <c r="A31" s="5">
        <f t="shared" ca="1" si="0"/>
        <v>0.91300511473340673</v>
      </c>
      <c r="B31" s="8" t="s">
        <v>342</v>
      </c>
      <c r="C31" s="8" t="s">
        <v>388</v>
      </c>
      <c r="D31" s="7" t="s">
        <v>343</v>
      </c>
      <c r="E31" s="10" t="b">
        <f t="shared" si="1"/>
        <v>1</v>
      </c>
      <c r="F31" s="5" t="s">
        <v>342</v>
      </c>
    </row>
    <row r="32" spans="1:6">
      <c r="A32" s="5">
        <f t="shared" ca="1" si="0"/>
        <v>0.51358156862703608</v>
      </c>
      <c r="B32" s="8" t="s">
        <v>357</v>
      </c>
      <c r="C32" s="8" t="s">
        <v>388</v>
      </c>
      <c r="D32" s="7" t="s">
        <v>358</v>
      </c>
      <c r="E32" s="10" t="b">
        <f t="shared" si="1"/>
        <v>1</v>
      </c>
      <c r="F32" s="5" t="s">
        <v>357</v>
      </c>
    </row>
    <row r="33" spans="1:6">
      <c r="A33" s="5">
        <f t="shared" ca="1" si="0"/>
        <v>0.28673321824747977</v>
      </c>
      <c r="B33" s="8" t="s">
        <v>375</v>
      </c>
      <c r="C33" s="8"/>
      <c r="D33" s="7" t="s">
        <v>396</v>
      </c>
      <c r="E33" s="10" t="b">
        <f t="shared" si="1"/>
        <v>1</v>
      </c>
      <c r="F33" s="5" t="s">
        <v>375</v>
      </c>
    </row>
    <row r="34" spans="1:6">
      <c r="A34" s="5">
        <f t="shared" ca="1" si="0"/>
        <v>0.78776377070942383</v>
      </c>
      <c r="B34" s="9" t="s">
        <v>401</v>
      </c>
      <c r="C34" s="9"/>
      <c r="D34" s="7" t="s">
        <v>378</v>
      </c>
      <c r="E34" s="10" t="b">
        <f t="shared" si="1"/>
        <v>1</v>
      </c>
      <c r="F34" s="5" t="s">
        <v>401</v>
      </c>
    </row>
    <row r="35" spans="1:6">
      <c r="A35" s="5">
        <f t="shared" ca="1" si="0"/>
        <v>0.41983144754354507</v>
      </c>
      <c r="B35" s="8" t="s">
        <v>354</v>
      </c>
      <c r="C35" s="8" t="s">
        <v>388</v>
      </c>
      <c r="D35" s="7" t="s">
        <v>355</v>
      </c>
      <c r="E35" s="10" t="b">
        <f t="shared" si="1"/>
        <v>1</v>
      </c>
      <c r="F35" s="5" t="s">
        <v>354</v>
      </c>
    </row>
    <row r="36" spans="1:6">
      <c r="A36" s="5">
        <f t="shared" ca="1" si="0"/>
        <v>0.46915902308214319</v>
      </c>
      <c r="B36" s="8" t="s">
        <v>369</v>
      </c>
      <c r="C36" s="8"/>
      <c r="D36" s="7" t="s">
        <v>370</v>
      </c>
      <c r="E36" s="10" t="b">
        <f t="shared" si="1"/>
        <v>1</v>
      </c>
      <c r="F36" s="5" t="s">
        <v>369</v>
      </c>
    </row>
    <row r="37" spans="1:6">
      <c r="A37" s="5">
        <f t="shared" ca="1" si="0"/>
        <v>0.49070236051252247</v>
      </c>
      <c r="B37" s="8" t="s">
        <v>352</v>
      </c>
      <c r="C37" s="8" t="s">
        <v>388</v>
      </c>
      <c r="D37" s="7" t="s">
        <v>353</v>
      </c>
      <c r="E37" s="10" t="b">
        <f t="shared" si="1"/>
        <v>1</v>
      </c>
      <c r="F37" s="5" t="s">
        <v>352</v>
      </c>
    </row>
  </sheetData>
  <sortState xmlns:xlrd2="http://schemas.microsoft.com/office/spreadsheetml/2017/richdata2" ref="A1:E45">
    <sortCondition ref="A17:A45"/>
  </sortState>
  <conditionalFormatting sqref="E1:E37">
    <cfRule type="cellIs" dxfId="38" priority="1" operator="equal">
      <formula>TRUE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D384-6EC5-4369-B54A-943E17AE54D9}">
  <sheetPr codeName="Sheet8"/>
  <dimension ref="A1:H14"/>
  <sheetViews>
    <sheetView zoomScale="220" zoomScaleNormal="220" workbookViewId="0">
      <selection activeCell="C15" sqref="C15"/>
    </sheetView>
  </sheetViews>
  <sheetFormatPr defaultRowHeight="15"/>
  <cols>
    <col min="1" max="1" width="4.5703125" customWidth="1"/>
    <col min="2" max="2" width="4.5703125" style="5" customWidth="1"/>
    <col min="3" max="3" width="10.85546875" style="5" bestFit="1" customWidth="1"/>
    <col min="4" max="4" width="11.85546875" style="9" bestFit="1" customWidth="1"/>
    <col min="5" max="5" width="11.28515625" style="9" bestFit="1" customWidth="1"/>
    <col min="6" max="6" width="6.140625" style="10" bestFit="1" customWidth="1"/>
    <col min="7" max="7" width="11.85546875" style="5" bestFit="1" customWidth="1"/>
    <col min="8" max="8" width="11.28515625" style="5" bestFit="1" customWidth="1"/>
  </cols>
  <sheetData>
    <row r="1" spans="1:8">
      <c r="A1">
        <f t="shared" ref="A1:A14" ca="1" si="0">RAND()*13</f>
        <v>6.9109374952800318</v>
      </c>
      <c r="B1" s="5" t="s">
        <v>453</v>
      </c>
      <c r="C1" s="5" t="s">
        <v>36</v>
      </c>
      <c r="D1" s="9" t="s">
        <v>427</v>
      </c>
      <c r="E1" s="9" t="s">
        <v>428</v>
      </c>
      <c r="F1" s="10" t="b">
        <f t="shared" ref="F1:F14" si="1">IF(AND(G1=D1,H1=E1),TRUE, FALSE)</f>
        <v>1</v>
      </c>
      <c r="G1" s="5" t="s">
        <v>427</v>
      </c>
      <c r="H1" s="5" t="s">
        <v>428</v>
      </c>
    </row>
    <row r="2" spans="1:8">
      <c r="A2">
        <f t="shared" ca="1" si="0"/>
        <v>6.4050424688147309</v>
      </c>
      <c r="B2" s="5" t="s">
        <v>461</v>
      </c>
      <c r="C2" s="5" t="s">
        <v>366</v>
      </c>
      <c r="D2" s="9" t="s">
        <v>442</v>
      </c>
      <c r="E2" s="9" t="s">
        <v>443</v>
      </c>
      <c r="F2" s="10" t="b">
        <f t="shared" si="1"/>
        <v>1</v>
      </c>
      <c r="G2" s="5" t="s">
        <v>442</v>
      </c>
      <c r="H2" s="5" t="s">
        <v>443</v>
      </c>
    </row>
    <row r="3" spans="1:8">
      <c r="A3">
        <f t="shared" ca="1" si="0"/>
        <v>3.369521054619852</v>
      </c>
      <c r="B3" s="5" t="s">
        <v>457</v>
      </c>
      <c r="C3" s="5" t="s">
        <v>294</v>
      </c>
      <c r="D3" s="9" t="s">
        <v>435</v>
      </c>
      <c r="F3" s="10" t="b">
        <f t="shared" si="1"/>
        <v>1</v>
      </c>
      <c r="G3" s="5" t="s">
        <v>435</v>
      </c>
    </row>
    <row r="4" spans="1:8">
      <c r="A4">
        <f t="shared" ca="1" si="0"/>
        <v>1.1357414624877447</v>
      </c>
      <c r="B4" s="5" t="s">
        <v>463</v>
      </c>
      <c r="C4" s="5" t="s">
        <v>82</v>
      </c>
      <c r="D4" s="9" t="s">
        <v>447</v>
      </c>
      <c r="F4" s="10" t="b">
        <f t="shared" si="1"/>
        <v>1</v>
      </c>
      <c r="G4" s="5" t="s">
        <v>447</v>
      </c>
    </row>
    <row r="5" spans="1:8">
      <c r="A5">
        <f t="shared" ca="1" si="0"/>
        <v>8.2521816643522676</v>
      </c>
      <c r="B5" s="5" t="s">
        <v>462</v>
      </c>
      <c r="C5" s="5" t="s">
        <v>78</v>
      </c>
      <c r="D5" s="9" t="s">
        <v>445</v>
      </c>
      <c r="F5" s="10" t="b">
        <f t="shared" si="1"/>
        <v>1</v>
      </c>
      <c r="G5" s="5" t="s">
        <v>445</v>
      </c>
    </row>
    <row r="6" spans="1:8">
      <c r="A6">
        <f t="shared" ca="1" si="0"/>
        <v>11.252392182350755</v>
      </c>
      <c r="B6" s="5" t="s">
        <v>452</v>
      </c>
      <c r="C6" s="5" t="s">
        <v>26</v>
      </c>
      <c r="D6" s="9" t="s">
        <v>425</v>
      </c>
      <c r="E6" s="9" t="s">
        <v>426</v>
      </c>
      <c r="F6" s="10" t="b">
        <f t="shared" si="1"/>
        <v>1</v>
      </c>
      <c r="G6" s="5" t="s">
        <v>425</v>
      </c>
      <c r="H6" s="5" t="s">
        <v>426</v>
      </c>
    </row>
    <row r="7" spans="1:8">
      <c r="A7">
        <f t="shared" ca="1" si="0"/>
        <v>8.0013693125269558</v>
      </c>
      <c r="B7" s="5" t="s">
        <v>458</v>
      </c>
      <c r="C7" s="5" t="s">
        <v>172</v>
      </c>
      <c r="D7" s="9" t="s">
        <v>436</v>
      </c>
      <c r="E7" s="9" t="s">
        <v>437</v>
      </c>
      <c r="F7" s="10" t="b">
        <f t="shared" si="1"/>
        <v>1</v>
      </c>
      <c r="G7" s="5" t="s">
        <v>436</v>
      </c>
      <c r="H7" s="5" t="s">
        <v>437</v>
      </c>
    </row>
    <row r="8" spans="1:8">
      <c r="A8">
        <f t="shared" ca="1" si="0"/>
        <v>7.5698742928942639</v>
      </c>
      <c r="B8" s="5" t="s">
        <v>462</v>
      </c>
      <c r="C8" s="5" t="s">
        <v>80</v>
      </c>
      <c r="D8" s="9" t="s">
        <v>444</v>
      </c>
      <c r="F8" s="10" t="b">
        <f t="shared" si="1"/>
        <v>1</v>
      </c>
      <c r="G8" s="5" t="s">
        <v>444</v>
      </c>
    </row>
    <row r="9" spans="1:8">
      <c r="A9">
        <f t="shared" ca="1" si="0"/>
        <v>3.2825634119634932</v>
      </c>
      <c r="B9" s="5" t="s">
        <v>459</v>
      </c>
      <c r="C9" s="5" t="s">
        <v>220</v>
      </c>
      <c r="D9" s="9" t="s">
        <v>438</v>
      </c>
      <c r="E9" s="9" t="s">
        <v>439</v>
      </c>
      <c r="F9" s="10" t="b">
        <f t="shared" si="1"/>
        <v>1</v>
      </c>
      <c r="G9" s="5" t="s">
        <v>438</v>
      </c>
      <c r="H9" s="5" t="s">
        <v>439</v>
      </c>
    </row>
    <row r="10" spans="1:8">
      <c r="A10">
        <f t="shared" ca="1" si="0"/>
        <v>2.8600807087032294</v>
      </c>
      <c r="B10" s="5" t="s">
        <v>456</v>
      </c>
      <c r="C10" s="5" t="s">
        <v>216</v>
      </c>
      <c r="D10" s="9" t="s">
        <v>433</v>
      </c>
      <c r="E10" s="9" t="s">
        <v>434</v>
      </c>
      <c r="F10" s="10" t="b">
        <f t="shared" si="1"/>
        <v>1</v>
      </c>
      <c r="G10" s="5" t="s">
        <v>433</v>
      </c>
      <c r="H10" s="5" t="s">
        <v>434</v>
      </c>
    </row>
    <row r="11" spans="1:8">
      <c r="A11">
        <f t="shared" ca="1" si="0"/>
        <v>12.001700591287772</v>
      </c>
      <c r="B11" s="5" t="s">
        <v>455</v>
      </c>
      <c r="C11" s="5" t="s">
        <v>212</v>
      </c>
      <c r="D11" s="9" t="s">
        <v>446</v>
      </c>
      <c r="F11" s="10" t="b">
        <f t="shared" si="1"/>
        <v>1</v>
      </c>
      <c r="G11" s="5" t="s">
        <v>446</v>
      </c>
    </row>
    <row r="12" spans="1:8">
      <c r="A12">
        <f t="shared" ca="1" si="0"/>
        <v>3.5178584557429105</v>
      </c>
      <c r="B12" s="5" t="s">
        <v>455</v>
      </c>
      <c r="C12" s="5" t="s">
        <v>210</v>
      </c>
      <c r="D12" s="9" t="s">
        <v>431</v>
      </c>
      <c r="E12" s="9" t="s">
        <v>432</v>
      </c>
      <c r="F12" s="10" t="b">
        <f t="shared" si="1"/>
        <v>1</v>
      </c>
      <c r="G12" s="5" t="s">
        <v>431</v>
      </c>
      <c r="H12" s="5" t="s">
        <v>432</v>
      </c>
    </row>
    <row r="13" spans="1:8">
      <c r="A13">
        <f t="shared" ca="1" si="0"/>
        <v>0.6412148925152038</v>
      </c>
      <c r="B13" s="5" t="s">
        <v>454</v>
      </c>
      <c r="C13" s="5" t="s">
        <v>168</v>
      </c>
      <c r="D13" s="9" t="s">
        <v>429</v>
      </c>
      <c r="E13" s="9" t="s">
        <v>430</v>
      </c>
      <c r="F13" s="10" t="b">
        <f t="shared" si="1"/>
        <v>1</v>
      </c>
      <c r="G13" s="5" t="s">
        <v>429</v>
      </c>
      <c r="H13" s="5" t="s">
        <v>430</v>
      </c>
    </row>
    <row r="14" spans="1:8">
      <c r="A14">
        <f t="shared" ca="1" si="0"/>
        <v>2.1279953967372891</v>
      </c>
      <c r="B14" s="5" t="s">
        <v>460</v>
      </c>
      <c r="C14" s="5" t="s">
        <v>30</v>
      </c>
      <c r="D14" s="9" t="s">
        <v>440</v>
      </c>
      <c r="E14" s="9" t="s">
        <v>441</v>
      </c>
      <c r="F14" s="10" t="b">
        <f t="shared" si="1"/>
        <v>1</v>
      </c>
      <c r="G14" s="5" t="s">
        <v>440</v>
      </c>
      <c r="H14" s="5" t="s">
        <v>441</v>
      </c>
    </row>
  </sheetData>
  <sortState xmlns:xlrd2="http://schemas.microsoft.com/office/spreadsheetml/2017/richdata2" ref="A1:F20">
    <sortCondition ref="A1:A20"/>
  </sortState>
  <conditionalFormatting sqref="G1:H1 F1:F1048576">
    <cfRule type="cellIs" dxfId="37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C348-6DB2-43E8-ABA8-23CBF41E16F6}">
  <dimension ref="A1:C7"/>
  <sheetViews>
    <sheetView zoomScale="205" zoomScaleNormal="205" workbookViewId="0">
      <selection activeCell="A8" sqref="A8"/>
    </sheetView>
  </sheetViews>
  <sheetFormatPr defaultRowHeight="15"/>
  <sheetData>
    <row r="1" spans="1:3">
      <c r="A1" t="s">
        <v>22</v>
      </c>
      <c r="B1" t="s">
        <v>490</v>
      </c>
    </row>
    <row r="2" spans="1:3">
      <c r="A2" t="s">
        <v>167</v>
      </c>
      <c r="B2" t="s">
        <v>491</v>
      </c>
    </row>
    <row r="3" spans="1:3">
      <c r="A3" t="s">
        <v>34</v>
      </c>
      <c r="B3" t="s">
        <v>492</v>
      </c>
    </row>
    <row r="4" spans="1:3">
      <c r="A4" t="s">
        <v>210</v>
      </c>
      <c r="B4" t="s">
        <v>493</v>
      </c>
    </row>
    <row r="5" spans="1:3">
      <c r="A5" t="s">
        <v>294</v>
      </c>
      <c r="B5" t="s">
        <v>494</v>
      </c>
    </row>
    <row r="6" spans="1:3">
      <c r="A6" t="s">
        <v>401</v>
      </c>
      <c r="B6" t="s">
        <v>495</v>
      </c>
      <c r="C6" t="s">
        <v>496</v>
      </c>
    </row>
    <row r="7" spans="1:3">
      <c r="A7" t="s">
        <v>24</v>
      </c>
      <c r="B7" t="s">
        <v>497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41A1-20DB-4FE2-9934-2E34C16F5264}">
  <sheetPr codeName="Sheet9"/>
  <dimension ref="A1:J20"/>
  <sheetViews>
    <sheetView tabSelected="1" zoomScale="115" zoomScaleNormal="115" workbookViewId="0">
      <selection activeCell="B5" sqref="B5"/>
    </sheetView>
  </sheetViews>
  <sheetFormatPr defaultRowHeight="15"/>
  <cols>
    <col min="1" max="1" width="11.5703125" bestFit="1" customWidth="1"/>
    <col min="2" max="2" width="11.28515625" bestFit="1" customWidth="1"/>
    <col min="3" max="3" width="26.5703125" bestFit="1" customWidth="1"/>
    <col min="4" max="4" width="16.42578125" bestFit="1" customWidth="1"/>
    <col min="7" max="7" width="11.5703125" bestFit="1" customWidth="1"/>
    <col min="8" max="8" width="11.28515625" bestFit="1" customWidth="1"/>
    <col min="9" max="9" width="25" bestFit="1" customWidth="1"/>
    <col min="10" max="10" width="15.7109375" bestFit="1" customWidth="1"/>
  </cols>
  <sheetData>
    <row r="1" spans="1:10">
      <c r="A1" s="21" t="s">
        <v>324</v>
      </c>
      <c r="B1" s="22"/>
      <c r="C1" s="5" t="s">
        <v>234</v>
      </c>
      <c r="D1" s="5" t="s">
        <v>235</v>
      </c>
      <c r="G1" s="21" t="s">
        <v>324</v>
      </c>
      <c r="H1" s="22"/>
      <c r="I1" s="5" t="s">
        <v>234</v>
      </c>
      <c r="J1" s="5" t="s">
        <v>235</v>
      </c>
    </row>
    <row r="2" spans="1:10">
      <c r="A2" s="5" t="s">
        <v>230</v>
      </c>
      <c r="B2" s="5" t="s">
        <v>231</v>
      </c>
      <c r="C2" s="5" t="s">
        <v>310</v>
      </c>
      <c r="D2" s="5" t="s">
        <v>311</v>
      </c>
      <c r="G2" s="5" t="s">
        <v>230</v>
      </c>
      <c r="H2" s="5" t="s">
        <v>231</v>
      </c>
      <c r="I2" s="10" t="s">
        <v>232</v>
      </c>
      <c r="J2" s="10" t="s">
        <v>233</v>
      </c>
    </row>
    <row r="3" spans="1:10">
      <c r="A3" s="5" t="s">
        <v>236</v>
      </c>
      <c r="B3" s="5" t="s">
        <v>237</v>
      </c>
      <c r="C3" s="5" t="s">
        <v>312</v>
      </c>
      <c r="D3" s="5" t="s">
        <v>313</v>
      </c>
      <c r="G3" s="5" t="s">
        <v>236</v>
      </c>
      <c r="H3" s="5" t="s">
        <v>237</v>
      </c>
      <c r="I3" s="10" t="s">
        <v>238</v>
      </c>
      <c r="J3" s="10" t="s">
        <v>239</v>
      </c>
    </row>
    <row r="4" spans="1:10">
      <c r="A4" s="5" t="s">
        <v>240</v>
      </c>
      <c r="B4" s="5" t="s">
        <v>241</v>
      </c>
      <c r="C4" s="5" t="s">
        <v>314</v>
      </c>
      <c r="D4" s="5" t="s">
        <v>315</v>
      </c>
      <c r="G4" s="5" t="s">
        <v>240</v>
      </c>
      <c r="H4" s="5" t="s">
        <v>241</v>
      </c>
      <c r="I4" s="10" t="s">
        <v>242</v>
      </c>
      <c r="J4" s="10" t="s">
        <v>246</v>
      </c>
    </row>
    <row r="5" spans="1:10">
      <c r="A5" s="5" t="s">
        <v>243</v>
      </c>
      <c r="B5" s="5" t="s">
        <v>244</v>
      </c>
      <c r="C5" s="5" t="s">
        <v>316</v>
      </c>
      <c r="D5" s="5" t="s">
        <v>315</v>
      </c>
      <c r="G5" s="5" t="s">
        <v>243</v>
      </c>
      <c r="H5" s="5" t="s">
        <v>244</v>
      </c>
      <c r="I5" s="10" t="s">
        <v>245</v>
      </c>
      <c r="J5" s="10" t="s">
        <v>246</v>
      </c>
    </row>
    <row r="6" spans="1:10">
      <c r="A6" s="5" t="s">
        <v>247</v>
      </c>
      <c r="B6" s="5" t="s">
        <v>248</v>
      </c>
      <c r="C6" s="5" t="s">
        <v>317</v>
      </c>
      <c r="D6" s="5" t="s">
        <v>320</v>
      </c>
      <c r="G6" s="5" t="s">
        <v>247</v>
      </c>
      <c r="H6" s="5" t="s">
        <v>248</v>
      </c>
      <c r="I6" s="10" t="s">
        <v>249</v>
      </c>
      <c r="J6" s="10" t="s">
        <v>250</v>
      </c>
    </row>
    <row r="7" spans="1:10">
      <c r="A7" s="5" t="s">
        <v>251</v>
      </c>
      <c r="B7" s="5" t="s">
        <v>252</v>
      </c>
      <c r="C7" s="5" t="s">
        <v>318</v>
      </c>
      <c r="D7" s="5" t="s">
        <v>320</v>
      </c>
      <c r="G7" s="5" t="s">
        <v>251</v>
      </c>
      <c r="H7" s="5" t="s">
        <v>252</v>
      </c>
      <c r="I7" s="10" t="s">
        <v>253</v>
      </c>
      <c r="J7" s="10" t="s">
        <v>250</v>
      </c>
    </row>
    <row r="8" spans="1:10">
      <c r="A8" s="5" t="s">
        <v>308</v>
      </c>
      <c r="B8" s="5" t="s">
        <v>309</v>
      </c>
      <c r="C8" s="5" t="s">
        <v>319</v>
      </c>
      <c r="D8" s="5" t="s">
        <v>321</v>
      </c>
      <c r="G8" s="5" t="s">
        <v>308</v>
      </c>
      <c r="H8" s="5" t="s">
        <v>309</v>
      </c>
      <c r="I8" s="10" t="s">
        <v>322</v>
      </c>
      <c r="J8" s="10" t="s">
        <v>323</v>
      </c>
    </row>
    <row r="9" spans="1:10">
      <c r="A9" s="5" t="s">
        <v>325</v>
      </c>
      <c r="B9" s="5" t="s">
        <v>326</v>
      </c>
      <c r="C9" s="5" t="s">
        <v>330</v>
      </c>
      <c r="D9" s="5" t="s">
        <v>311</v>
      </c>
      <c r="G9" s="5" t="s">
        <v>325</v>
      </c>
      <c r="H9" s="5" t="s">
        <v>326</v>
      </c>
      <c r="I9" s="10" t="s">
        <v>73</v>
      </c>
      <c r="J9" s="10" t="s">
        <v>233</v>
      </c>
    </row>
    <row r="12" spans="1:10">
      <c r="A12" s="21" t="s">
        <v>327</v>
      </c>
      <c r="B12" s="22"/>
      <c r="C12" s="5" t="s">
        <v>234</v>
      </c>
      <c r="D12" s="5" t="s">
        <v>235</v>
      </c>
      <c r="G12" s="21" t="s">
        <v>327</v>
      </c>
      <c r="H12" s="22"/>
      <c r="I12" s="5" t="s">
        <v>234</v>
      </c>
      <c r="J12" s="5" t="s">
        <v>235</v>
      </c>
    </row>
    <row r="13" spans="1:10">
      <c r="A13" s="5" t="s">
        <v>230</v>
      </c>
      <c r="B13" s="5" t="s">
        <v>231</v>
      </c>
      <c r="C13" s="5" t="s">
        <v>328</v>
      </c>
      <c r="D13" s="5" t="s">
        <v>329</v>
      </c>
      <c r="G13" s="5" t="s">
        <v>230</v>
      </c>
      <c r="H13" s="5" t="s">
        <v>231</v>
      </c>
      <c r="I13" s="10" t="s">
        <v>402</v>
      </c>
      <c r="J13" s="10" t="s">
        <v>403</v>
      </c>
    </row>
    <row r="14" spans="1:10">
      <c r="A14" s="5" t="s">
        <v>236</v>
      </c>
      <c r="B14" s="5" t="s">
        <v>237</v>
      </c>
      <c r="C14" s="5" t="s">
        <v>328</v>
      </c>
      <c r="D14" s="5" t="s">
        <v>405</v>
      </c>
      <c r="G14" s="5" t="s">
        <v>236</v>
      </c>
      <c r="H14" s="5" t="s">
        <v>237</v>
      </c>
      <c r="I14" s="10" t="s">
        <v>402</v>
      </c>
      <c r="J14" s="10" t="s">
        <v>404</v>
      </c>
    </row>
    <row r="15" spans="1:10">
      <c r="A15" s="5" t="s">
        <v>240</v>
      </c>
      <c r="B15" s="5" t="s">
        <v>241</v>
      </c>
      <c r="C15" s="5" t="s">
        <v>407</v>
      </c>
      <c r="D15" s="5" t="s">
        <v>408</v>
      </c>
      <c r="G15" s="5" t="s">
        <v>240</v>
      </c>
      <c r="H15" s="5" t="s">
        <v>241</v>
      </c>
      <c r="I15" s="10" t="s">
        <v>406</v>
      </c>
      <c r="J15" s="10" t="s">
        <v>416</v>
      </c>
    </row>
    <row r="16" spans="1:10">
      <c r="A16" s="5" t="s">
        <v>243</v>
      </c>
      <c r="B16" s="5" t="s">
        <v>244</v>
      </c>
      <c r="C16" s="5" t="s">
        <v>409</v>
      </c>
      <c r="D16" s="5" t="s">
        <v>408</v>
      </c>
      <c r="G16" s="5" t="s">
        <v>243</v>
      </c>
      <c r="H16" s="5" t="s">
        <v>244</v>
      </c>
      <c r="I16" s="10" t="s">
        <v>417</v>
      </c>
      <c r="J16" s="10" t="s">
        <v>416</v>
      </c>
    </row>
    <row r="17" spans="1:10">
      <c r="A17" s="5" t="s">
        <v>247</v>
      </c>
      <c r="B17" s="5" t="s">
        <v>248</v>
      </c>
      <c r="C17" s="5" t="s">
        <v>410</v>
      </c>
      <c r="D17" s="5" t="s">
        <v>411</v>
      </c>
      <c r="G17" s="5" t="s">
        <v>247</v>
      </c>
      <c r="H17" s="5" t="s">
        <v>248</v>
      </c>
      <c r="I17" s="10" t="s">
        <v>418</v>
      </c>
      <c r="J17" s="10" t="s">
        <v>419</v>
      </c>
    </row>
    <row r="18" spans="1:10">
      <c r="A18" s="5" t="s">
        <v>251</v>
      </c>
      <c r="B18" s="5" t="s">
        <v>252</v>
      </c>
      <c r="C18" s="5" t="s">
        <v>412</v>
      </c>
      <c r="D18" s="5" t="s">
        <v>411</v>
      </c>
      <c r="G18" s="5" t="s">
        <v>251</v>
      </c>
      <c r="H18" s="5" t="s">
        <v>252</v>
      </c>
      <c r="I18" s="10" t="s">
        <v>420</v>
      </c>
      <c r="J18" s="10" t="s">
        <v>419</v>
      </c>
    </row>
    <row r="19" spans="1:10">
      <c r="A19" s="5" t="s">
        <v>308</v>
      </c>
      <c r="B19" s="5" t="s">
        <v>309</v>
      </c>
      <c r="C19" s="5" t="s">
        <v>413</v>
      </c>
      <c r="D19" s="5" t="s">
        <v>414</v>
      </c>
      <c r="G19" s="5" t="s">
        <v>308</v>
      </c>
      <c r="H19" s="5" t="s">
        <v>309</v>
      </c>
      <c r="I19" s="10" t="s">
        <v>421</v>
      </c>
      <c r="J19" s="10" t="s">
        <v>422</v>
      </c>
    </row>
    <row r="20" spans="1:10">
      <c r="A20" s="5" t="s">
        <v>325</v>
      </c>
      <c r="B20" s="5" t="s">
        <v>326</v>
      </c>
      <c r="C20" s="5" t="s">
        <v>331</v>
      </c>
      <c r="D20" s="5" t="s">
        <v>332</v>
      </c>
      <c r="G20" s="5" t="s">
        <v>325</v>
      </c>
      <c r="H20" s="5" t="s">
        <v>326</v>
      </c>
      <c r="I20" s="10" t="s">
        <v>423</v>
      </c>
      <c r="J20" s="10" t="s">
        <v>424</v>
      </c>
    </row>
  </sheetData>
  <mergeCells count="4">
    <mergeCell ref="A1:B1"/>
    <mergeCell ref="G1:H1"/>
    <mergeCell ref="A12:B12"/>
    <mergeCell ref="G12:H12"/>
  </mergeCells>
  <conditionalFormatting sqref="I2">
    <cfRule type="cellIs" dxfId="36" priority="49" operator="equal">
      <formula>$C$2</formula>
    </cfRule>
  </conditionalFormatting>
  <conditionalFormatting sqref="J2">
    <cfRule type="cellIs" dxfId="35" priority="48" operator="equal">
      <formula>$D$2</formula>
    </cfRule>
  </conditionalFormatting>
  <conditionalFormatting sqref="I3">
    <cfRule type="cellIs" dxfId="34" priority="47" operator="equal">
      <formula>$C$3</formula>
    </cfRule>
  </conditionalFormatting>
  <conditionalFormatting sqref="J3">
    <cfRule type="cellIs" dxfId="33" priority="46" operator="equal">
      <formula>$D$3</formula>
    </cfRule>
  </conditionalFormatting>
  <conditionalFormatting sqref="I4">
    <cfRule type="cellIs" dxfId="32" priority="45" operator="equal">
      <formula>$C$4</formula>
    </cfRule>
  </conditionalFormatting>
  <conditionalFormatting sqref="J4">
    <cfRule type="cellIs" dxfId="31" priority="44" operator="equal">
      <formula>$D$4</formula>
    </cfRule>
  </conditionalFormatting>
  <conditionalFormatting sqref="I5">
    <cfRule type="cellIs" dxfId="30" priority="43" operator="equal">
      <formula>$C$5</formula>
    </cfRule>
  </conditionalFormatting>
  <conditionalFormatting sqref="J5">
    <cfRule type="cellIs" dxfId="29" priority="42" operator="equal">
      <formula>$D$5</formula>
    </cfRule>
  </conditionalFormatting>
  <conditionalFormatting sqref="I6">
    <cfRule type="cellIs" dxfId="28" priority="41" operator="equal">
      <formula>$C$6</formula>
    </cfRule>
  </conditionalFormatting>
  <conditionalFormatting sqref="J6">
    <cfRule type="cellIs" dxfId="27" priority="40" operator="equal">
      <formula>$D$6</formula>
    </cfRule>
  </conditionalFormatting>
  <conditionalFormatting sqref="I7:I8">
    <cfRule type="cellIs" dxfId="26" priority="39" operator="equal">
      <formula>$C$7</formula>
    </cfRule>
  </conditionalFormatting>
  <conditionalFormatting sqref="J7:J8">
    <cfRule type="cellIs" dxfId="25" priority="38" operator="equal">
      <formula>$D$7</formula>
    </cfRule>
  </conditionalFormatting>
  <conditionalFormatting sqref="I8">
    <cfRule type="cellIs" dxfId="24" priority="36" operator="equal">
      <formula>$C$8</formula>
    </cfRule>
    <cfRule type="cellIs" dxfId="23" priority="37" operator="equal">
      <formula>$C$8</formula>
    </cfRule>
  </conditionalFormatting>
  <conditionalFormatting sqref="J8">
    <cfRule type="cellIs" dxfId="22" priority="35" operator="equal">
      <formula>$D$8</formula>
    </cfRule>
  </conditionalFormatting>
  <conditionalFormatting sqref="I9">
    <cfRule type="cellIs" dxfId="21" priority="34" operator="equal">
      <formula>$C$9</formula>
    </cfRule>
  </conditionalFormatting>
  <conditionalFormatting sqref="J9">
    <cfRule type="cellIs" dxfId="20" priority="33" operator="equal">
      <formula>$D$9</formula>
    </cfRule>
  </conditionalFormatting>
  <conditionalFormatting sqref="I13">
    <cfRule type="cellIs" dxfId="19" priority="16" operator="equal">
      <formula>$C$13</formula>
    </cfRule>
  </conditionalFormatting>
  <conditionalFormatting sqref="J13">
    <cfRule type="cellIs" dxfId="18" priority="15" operator="equal">
      <formula>$D$13</formula>
    </cfRule>
  </conditionalFormatting>
  <conditionalFormatting sqref="I14">
    <cfRule type="cellIs" dxfId="17" priority="14" operator="equal">
      <formula>$C$14</formula>
    </cfRule>
  </conditionalFormatting>
  <conditionalFormatting sqref="J14">
    <cfRule type="cellIs" dxfId="16" priority="13" operator="equal">
      <formula>$D$14</formula>
    </cfRule>
  </conditionalFormatting>
  <conditionalFormatting sqref="I15">
    <cfRule type="cellIs" dxfId="15" priority="12" operator="equal">
      <formula>$C$15</formula>
    </cfRule>
  </conditionalFormatting>
  <conditionalFormatting sqref="J15">
    <cfRule type="cellIs" dxfId="14" priority="11" operator="equal">
      <formula>$D$15</formula>
    </cfRule>
  </conditionalFormatting>
  <conditionalFormatting sqref="I16">
    <cfRule type="cellIs" dxfId="13" priority="10" operator="equal">
      <formula>$C$16</formula>
    </cfRule>
  </conditionalFormatting>
  <conditionalFormatting sqref="J16">
    <cfRule type="cellIs" dxfId="12" priority="9" operator="equal">
      <formula>$D$16</formula>
    </cfRule>
  </conditionalFormatting>
  <conditionalFormatting sqref="I17">
    <cfRule type="cellIs" dxfId="11" priority="8" operator="equal">
      <formula>$C$17</formula>
    </cfRule>
  </conditionalFormatting>
  <conditionalFormatting sqref="J17">
    <cfRule type="cellIs" dxfId="10" priority="7" operator="equal">
      <formula>$D$17</formula>
    </cfRule>
  </conditionalFormatting>
  <conditionalFormatting sqref="I18">
    <cfRule type="cellIs" dxfId="9" priority="6" operator="equal">
      <formula>$C$18</formula>
    </cfRule>
  </conditionalFormatting>
  <conditionalFormatting sqref="J18">
    <cfRule type="cellIs" dxfId="8" priority="5" operator="equal">
      <formula>$D$18</formula>
    </cfRule>
  </conditionalFormatting>
  <conditionalFormatting sqref="I19">
    <cfRule type="cellIs" dxfId="7" priority="4" operator="equal">
      <formula>$C$19</formula>
    </cfRule>
  </conditionalFormatting>
  <conditionalFormatting sqref="J19">
    <cfRule type="cellIs" dxfId="6" priority="3" operator="equal">
      <formula>$D$19</formula>
    </cfRule>
  </conditionalFormatting>
  <conditionalFormatting sqref="I20">
    <cfRule type="cellIs" dxfId="5" priority="2" operator="equal">
      <formula>$C$20</formula>
    </cfRule>
  </conditionalFormatting>
  <conditionalFormatting sqref="J20">
    <cfRule type="cellIs" dxfId="4" priority="1" operator="equal">
      <formula>$D$20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B69C2-3943-4FF0-8188-DDD19F40A5C8}">
  <sheetPr codeName="Sheet10"/>
  <dimension ref="A1:AF183"/>
  <sheetViews>
    <sheetView topLeftCell="D1" zoomScale="180" zoomScaleNormal="180" workbookViewId="0">
      <pane ySplit="1" topLeftCell="A2" activePane="bottomLeft" state="frozen"/>
      <selection activeCell="D1" sqref="D1"/>
      <selection pane="bottomLeft" activeCell="H4" sqref="H4"/>
    </sheetView>
  </sheetViews>
  <sheetFormatPr defaultRowHeight="15"/>
  <cols>
    <col min="1" max="1" width="11.85546875" style="13" customWidth="1"/>
    <col min="2" max="2" width="9.140625" style="13" customWidth="1"/>
    <col min="3" max="3" width="11.5703125" style="13" bestFit="1" customWidth="1"/>
    <col min="4" max="4" width="9.140625" style="13" customWidth="1"/>
    <col min="5" max="5" width="8.7109375" style="5" customWidth="1"/>
    <col min="6" max="6" width="10" style="13" hidden="1" customWidth="1"/>
    <col min="7" max="7" width="5.5703125" style="9" hidden="1" customWidth="1"/>
    <col min="8" max="8" width="33.7109375" style="13" customWidth="1"/>
    <col min="10" max="10" width="10" style="5" bestFit="1" customWidth="1"/>
    <col min="11" max="11" width="8.5703125" style="13" customWidth="1"/>
    <col min="12" max="12" width="11.85546875" style="5" bestFit="1" customWidth="1"/>
    <col min="13" max="13" width="11.28515625" style="5" bestFit="1" customWidth="1"/>
    <col min="14" max="14" width="11.5703125" style="5" bestFit="1" customWidth="1"/>
    <col min="15" max="15" width="9.140625" style="5"/>
  </cols>
  <sheetData>
    <row r="1" spans="1:14">
      <c r="E1" s="5">
        <f t="shared" ref="E1:E32" ca="1" si="0">-(RAND()-1)/7</f>
        <v>5.4815160931516761E-2</v>
      </c>
      <c r="F1" s="13" t="s">
        <v>176</v>
      </c>
      <c r="G1" s="9" t="s">
        <v>360</v>
      </c>
      <c r="H1" s="13" t="s">
        <v>155</v>
      </c>
      <c r="I1" s="11" t="b">
        <f>IF(AND(J1=F1,K1=G1),TRUE, FALSE)</f>
        <v>1</v>
      </c>
      <c r="J1" s="5" t="s">
        <v>176</v>
      </c>
      <c r="K1" s="13" t="s">
        <v>360</v>
      </c>
      <c r="L1" s="13"/>
    </row>
    <row r="2" spans="1:14">
      <c r="E2" s="5">
        <f t="shared" ca="1" si="0"/>
        <v>2.3208870029078756E-2</v>
      </c>
      <c r="F2" s="13" t="s">
        <v>70</v>
      </c>
      <c r="G2" s="9" t="s">
        <v>360</v>
      </c>
      <c r="H2" s="13" t="s">
        <v>19</v>
      </c>
      <c r="I2" s="11" t="b">
        <f>IF(AND(J2=F2,K2=G2),TRUE, FALSE)</f>
        <v>1</v>
      </c>
      <c r="J2" s="5" t="s">
        <v>70</v>
      </c>
      <c r="K2" s="13" t="s">
        <v>360</v>
      </c>
    </row>
    <row r="3" spans="1:14">
      <c r="E3" s="5">
        <f t="shared" ca="1" si="0"/>
        <v>9.9531133124763693E-2</v>
      </c>
      <c r="F3" s="13" t="s">
        <v>111</v>
      </c>
      <c r="G3" s="9" t="s">
        <v>360</v>
      </c>
      <c r="H3" s="13" t="s">
        <v>112</v>
      </c>
      <c r="I3" s="11" t="b">
        <f>IF(AND(J3=F3,K3=G3),TRUE, FALSE)</f>
        <v>1</v>
      </c>
      <c r="J3" s="5" t="s">
        <v>111</v>
      </c>
      <c r="K3" s="13" t="s">
        <v>360</v>
      </c>
    </row>
    <row r="4" spans="1:14">
      <c r="A4" s="13" t="s">
        <v>431</v>
      </c>
      <c r="B4" s="13" t="s">
        <v>432</v>
      </c>
      <c r="C4" s="13" t="s">
        <v>493</v>
      </c>
      <c r="E4" s="5">
        <f t="shared" ca="1" si="0"/>
        <v>0.11440150807624556</v>
      </c>
      <c r="F4" s="13" t="s">
        <v>210</v>
      </c>
      <c r="H4" s="18" t="s">
        <v>211</v>
      </c>
      <c r="I4" s="11" t="b">
        <f>IF(AND(J4=F4,K4=G4,L4=A4,M4=B4,N4=C4),TRUE, FALSE)</f>
        <v>1</v>
      </c>
      <c r="J4" s="5" t="s">
        <v>210</v>
      </c>
      <c r="L4" s="5" t="s">
        <v>431</v>
      </c>
      <c r="M4" s="5" t="s">
        <v>432</v>
      </c>
      <c r="N4" s="5" t="s">
        <v>493</v>
      </c>
    </row>
    <row r="5" spans="1:14">
      <c r="A5" s="13" t="s">
        <v>485</v>
      </c>
      <c r="E5" s="5">
        <f t="shared" ca="1" si="0"/>
        <v>8.0286932986688236E-2</v>
      </c>
      <c r="F5" s="13" t="s">
        <v>88</v>
      </c>
      <c r="H5" s="15" t="s">
        <v>89</v>
      </c>
      <c r="I5" s="11" t="b">
        <f>IF(AND(J5=F5,L5=A5),TRUE, FALSE)</f>
        <v>1</v>
      </c>
      <c r="J5" s="5" t="s">
        <v>88</v>
      </c>
      <c r="L5" s="5" t="s">
        <v>485</v>
      </c>
    </row>
    <row r="6" spans="1:14">
      <c r="E6" s="5">
        <f t="shared" ca="1" si="0"/>
        <v>9.3391488534554479E-2</v>
      </c>
      <c r="F6" s="13" t="s">
        <v>40</v>
      </c>
      <c r="G6" s="9" t="s">
        <v>360</v>
      </c>
      <c r="H6" s="13" t="s">
        <v>41</v>
      </c>
      <c r="I6" s="11" t="b">
        <f>IF(AND(J6=F6,K6=G6),TRUE, FALSE)</f>
        <v>1</v>
      </c>
      <c r="J6" s="5" t="s">
        <v>40</v>
      </c>
      <c r="K6" s="13" t="s">
        <v>360</v>
      </c>
    </row>
    <row r="7" spans="1:14">
      <c r="A7" s="13" t="s">
        <v>425</v>
      </c>
      <c r="B7" s="13" t="s">
        <v>426</v>
      </c>
      <c r="C7" s="13" t="s">
        <v>500</v>
      </c>
      <c r="E7" s="5">
        <f t="shared" ca="1" si="0"/>
        <v>9.3105131067943075E-2</v>
      </c>
      <c r="F7" s="13" t="s">
        <v>26</v>
      </c>
      <c r="H7" s="18" t="s">
        <v>27</v>
      </c>
      <c r="I7" s="11" t="b">
        <f>IF(AND(J7=F7,K7=G7,L7=A7,M7=B7,C7=N7),TRUE, FALSE)</f>
        <v>1</v>
      </c>
      <c r="J7" s="5" t="s">
        <v>26</v>
      </c>
      <c r="L7" s="5" t="s">
        <v>425</v>
      </c>
      <c r="M7" s="5" t="s">
        <v>426</v>
      </c>
      <c r="N7" s="5" t="s">
        <v>500</v>
      </c>
    </row>
    <row r="8" spans="1:14">
      <c r="E8" s="5">
        <f t="shared" ca="1" si="0"/>
        <v>0.11415512847829924</v>
      </c>
      <c r="F8" s="14" t="s">
        <v>338</v>
      </c>
      <c r="G8" s="8" t="s">
        <v>388</v>
      </c>
      <c r="H8" s="14" t="s">
        <v>339</v>
      </c>
      <c r="I8" s="11" t="b">
        <f>IF(AND(J8=F8,K8=G8),TRUE, FALSE)</f>
        <v>1</v>
      </c>
      <c r="J8" s="5" t="s">
        <v>338</v>
      </c>
      <c r="K8" s="13" t="s">
        <v>388</v>
      </c>
    </row>
    <row r="9" spans="1:14">
      <c r="E9" s="5">
        <f t="shared" ca="1" si="0"/>
        <v>5.0031248963673849E-2</v>
      </c>
      <c r="F9" s="14" t="s">
        <v>342</v>
      </c>
      <c r="G9" s="8" t="s">
        <v>388</v>
      </c>
      <c r="H9" s="14" t="s">
        <v>343</v>
      </c>
      <c r="I9" s="11" t="b">
        <f>IF(AND(J9=F9,K9=G9),TRUE, FALSE)</f>
        <v>1</v>
      </c>
      <c r="J9" s="5" t="s">
        <v>342</v>
      </c>
      <c r="K9" s="13" t="s">
        <v>388</v>
      </c>
    </row>
    <row r="10" spans="1:14">
      <c r="E10" s="5">
        <f t="shared" ca="1" si="0"/>
        <v>6.1656016412272238E-2</v>
      </c>
      <c r="F10" s="13" t="s">
        <v>7</v>
      </c>
      <c r="G10" s="9" t="s">
        <v>360</v>
      </c>
      <c r="H10" s="13" t="s">
        <v>9</v>
      </c>
      <c r="I10" s="11" t="b">
        <f>IF(AND(J10=F10,K10=G10),TRUE, FALSE)</f>
        <v>1</v>
      </c>
      <c r="J10" s="5" t="s">
        <v>7</v>
      </c>
      <c r="K10" s="13" t="s">
        <v>360</v>
      </c>
    </row>
    <row r="11" spans="1:14">
      <c r="E11" s="5">
        <f t="shared" ca="1" si="0"/>
        <v>8.125488342839074E-2</v>
      </c>
      <c r="F11" s="13" t="s">
        <v>125</v>
      </c>
      <c r="G11" s="9" t="s">
        <v>360</v>
      </c>
      <c r="H11" s="13" t="s">
        <v>126</v>
      </c>
      <c r="I11" s="11" t="b">
        <f>IF(AND(J11=F11,K11=G11),TRUE, FALSE)</f>
        <v>1</v>
      </c>
      <c r="J11" s="5" t="s">
        <v>125</v>
      </c>
      <c r="K11" s="13" t="s">
        <v>360</v>
      </c>
    </row>
    <row r="12" spans="1:14">
      <c r="C12" s="13" t="s">
        <v>505</v>
      </c>
      <c r="E12" s="5">
        <f t="shared" ca="1" si="0"/>
        <v>2.1745707284489307E-2</v>
      </c>
      <c r="F12" s="13" t="s">
        <v>208</v>
      </c>
      <c r="H12" s="17" t="s">
        <v>209</v>
      </c>
      <c r="I12" s="11" t="b">
        <f>IF(AND(J12=F12,K12=G12,C12=N12),TRUE, FALSE)</f>
        <v>1</v>
      </c>
      <c r="J12" s="5" t="s">
        <v>208</v>
      </c>
      <c r="N12" s="5" t="s">
        <v>505</v>
      </c>
    </row>
    <row r="13" spans="1:14">
      <c r="E13" s="5">
        <f t="shared" ca="1" si="0"/>
        <v>0.13471806417731522</v>
      </c>
      <c r="F13" s="13" t="s">
        <v>115</v>
      </c>
      <c r="G13" s="9" t="s">
        <v>360</v>
      </c>
      <c r="H13" s="13" t="s">
        <v>116</v>
      </c>
      <c r="I13" s="11" t="b">
        <f>IF(AND(J13=F13,K13=G13),TRUE, FALSE)</f>
        <v>1</v>
      </c>
      <c r="J13" s="5" t="s">
        <v>115</v>
      </c>
      <c r="K13" s="13" t="s">
        <v>360</v>
      </c>
    </row>
    <row r="14" spans="1:14">
      <c r="E14" s="5">
        <f t="shared" ca="1" si="0"/>
        <v>7.7057728413496077E-2</v>
      </c>
      <c r="F14" s="13" t="s">
        <v>14</v>
      </c>
      <c r="G14" s="9" t="s">
        <v>360</v>
      </c>
      <c r="H14" s="13" t="s">
        <v>15</v>
      </c>
      <c r="I14" s="11" t="b">
        <f>IF(AND(J14=F14,K14=G14),TRUE, FALSE)</f>
        <v>1</v>
      </c>
      <c r="J14" s="5" t="s">
        <v>14</v>
      </c>
      <c r="K14" s="13" t="s">
        <v>360</v>
      </c>
    </row>
    <row r="15" spans="1:14">
      <c r="E15" s="5">
        <f t="shared" ca="1" si="0"/>
        <v>6.6536978639954752E-2</v>
      </c>
      <c r="F15" s="13" t="s">
        <v>145</v>
      </c>
      <c r="G15" s="9" t="s">
        <v>360</v>
      </c>
      <c r="H15" s="13" t="s">
        <v>174</v>
      </c>
      <c r="I15" s="11" t="b">
        <f>IF(AND(J15=F15,K15=G15),TRUE, FALSE)</f>
        <v>1</v>
      </c>
      <c r="J15" s="5" t="s">
        <v>145</v>
      </c>
      <c r="K15" s="13" t="s">
        <v>360</v>
      </c>
    </row>
    <row r="16" spans="1:14">
      <c r="A16" s="13" t="s">
        <v>435</v>
      </c>
      <c r="C16" s="13" t="s">
        <v>494</v>
      </c>
      <c r="E16" s="5">
        <f t="shared" ca="1" si="0"/>
        <v>5.0804213214940851E-2</v>
      </c>
      <c r="F16" s="13" t="s">
        <v>294</v>
      </c>
      <c r="H16" s="18" t="s">
        <v>295</v>
      </c>
      <c r="I16" s="11" t="b">
        <f>IF(AND(J16=F16,K16=G16,L16=A16,N16=C16),TRUE, FALSE)</f>
        <v>1</v>
      </c>
      <c r="J16" s="5" t="s">
        <v>294</v>
      </c>
      <c r="L16" s="5" t="s">
        <v>435</v>
      </c>
      <c r="N16" s="5" t="s">
        <v>494</v>
      </c>
    </row>
    <row r="17" spans="1:15">
      <c r="E17" s="5">
        <f t="shared" ca="1" si="0"/>
        <v>1.2177132499873924E-2</v>
      </c>
      <c r="F17" s="14" t="s">
        <v>381</v>
      </c>
      <c r="G17" s="8" t="s">
        <v>388</v>
      </c>
      <c r="H17" s="14" t="s">
        <v>334</v>
      </c>
      <c r="I17" s="11" t="b">
        <f>IF(AND(J17=F17,K17=G17),TRUE, FALSE)</f>
        <v>1</v>
      </c>
      <c r="J17" s="5" t="s">
        <v>381</v>
      </c>
      <c r="K17" s="13" t="s">
        <v>388</v>
      </c>
    </row>
    <row r="18" spans="1:15">
      <c r="E18" s="5">
        <f t="shared" ca="1" si="0"/>
        <v>0.13744588054680656</v>
      </c>
      <c r="F18" s="13" t="s">
        <v>99</v>
      </c>
      <c r="G18" s="9" t="s">
        <v>360</v>
      </c>
      <c r="H18" s="13" t="s">
        <v>100</v>
      </c>
      <c r="I18" s="11" t="b">
        <f>IF(AND(J18=F18,K18=G18),TRUE, FALSE)</f>
        <v>1</v>
      </c>
      <c r="J18" s="5" t="s">
        <v>99</v>
      </c>
      <c r="K18" s="13" t="s">
        <v>360</v>
      </c>
    </row>
    <row r="19" spans="1:15">
      <c r="C19" s="13" t="s">
        <v>514</v>
      </c>
      <c r="E19" s="5">
        <f t="shared" ca="1" si="0"/>
        <v>5.4503230821544612E-3</v>
      </c>
      <c r="F19" s="14" t="s">
        <v>367</v>
      </c>
      <c r="G19" s="8"/>
      <c r="H19" s="20" t="s">
        <v>368</v>
      </c>
      <c r="I19" s="11" t="b">
        <f>IF(AND(J19=F19,K19=G19,C19=N19),TRUE, FALSE)</f>
        <v>1</v>
      </c>
      <c r="J19" s="5" t="s">
        <v>367</v>
      </c>
      <c r="N19" s="5" t="s">
        <v>514</v>
      </c>
    </row>
    <row r="20" spans="1:15">
      <c r="E20" s="5">
        <f t="shared" ca="1" si="0"/>
        <v>8.0595473452607869E-2</v>
      </c>
      <c r="F20" s="13" t="s">
        <v>6</v>
      </c>
      <c r="G20" s="9" t="s">
        <v>360</v>
      </c>
      <c r="H20" s="13" t="s">
        <v>8</v>
      </c>
      <c r="I20" s="11" t="b">
        <f>IF(AND(J20=F20,K20=G20),TRUE, FALSE)</f>
        <v>1</v>
      </c>
      <c r="J20" s="5" t="s">
        <v>6</v>
      </c>
      <c r="K20" s="13" t="s">
        <v>360</v>
      </c>
    </row>
    <row r="21" spans="1:15">
      <c r="E21" s="5">
        <f t="shared" ca="1" si="0"/>
        <v>7.1248186049695753E-2</v>
      </c>
      <c r="F21" s="13" t="s">
        <v>198</v>
      </c>
      <c r="G21" s="9" t="s">
        <v>360</v>
      </c>
      <c r="H21" s="13" t="s">
        <v>199</v>
      </c>
      <c r="I21" s="11" t="b">
        <f>IF(AND(J21=F21,K21=G21),TRUE, FALSE)</f>
        <v>1</v>
      </c>
      <c r="J21" s="5" t="s">
        <v>198</v>
      </c>
      <c r="K21" s="13" t="s">
        <v>360</v>
      </c>
    </row>
    <row r="22" spans="1:15">
      <c r="E22" s="5">
        <f t="shared" ca="1" si="0"/>
        <v>8.3173835066437142E-3</v>
      </c>
      <c r="F22" s="13" t="s">
        <v>109</v>
      </c>
      <c r="G22" s="9" t="s">
        <v>360</v>
      </c>
      <c r="H22" s="13" t="s">
        <v>110</v>
      </c>
      <c r="I22" s="11" t="b">
        <f>IF(AND(J22=F22,K22=G22),TRUE, FALSE)</f>
        <v>1</v>
      </c>
      <c r="J22" s="5" t="s">
        <v>109</v>
      </c>
      <c r="K22" s="13" t="s">
        <v>360</v>
      </c>
    </row>
    <row r="23" spans="1:15">
      <c r="A23" s="13" t="s">
        <v>476</v>
      </c>
      <c r="C23" s="13" t="s">
        <v>508</v>
      </c>
      <c r="E23" s="5">
        <f t="shared" ca="1" si="0"/>
        <v>5.6094436596597283E-2</v>
      </c>
      <c r="F23" s="13" t="s">
        <v>92</v>
      </c>
      <c r="H23" s="18" t="s">
        <v>93</v>
      </c>
      <c r="I23" s="11" t="b">
        <f>IF(AND(J23=F23,K23=G23,L23=A23,C23=N23),TRUE, FALSE)</f>
        <v>1</v>
      </c>
      <c r="J23" s="5" t="s">
        <v>92</v>
      </c>
      <c r="L23" s="5" t="s">
        <v>476</v>
      </c>
      <c r="N23" s="5" t="s">
        <v>508</v>
      </c>
    </row>
    <row r="24" spans="1:15">
      <c r="E24" s="5">
        <f t="shared" ca="1" si="0"/>
        <v>1.880301701932674E-2</v>
      </c>
      <c r="F24" s="13" t="s">
        <v>259</v>
      </c>
      <c r="G24" s="9" t="s">
        <v>360</v>
      </c>
      <c r="H24" s="13" t="s">
        <v>260</v>
      </c>
      <c r="I24" s="11" t="b">
        <f>IF(AND(J24=F24,K24=G24),TRUE, FALSE)</f>
        <v>1</v>
      </c>
      <c r="J24" s="5" t="s">
        <v>259</v>
      </c>
      <c r="K24" s="13" t="s">
        <v>360</v>
      </c>
    </row>
    <row r="25" spans="1:15">
      <c r="A25" s="13" t="s">
        <v>470</v>
      </c>
      <c r="C25" s="13" t="s">
        <v>495</v>
      </c>
      <c r="D25" s="13" t="s">
        <v>496</v>
      </c>
      <c r="E25" s="5">
        <f t="shared" ca="1" si="0"/>
        <v>5.4790174277273347E-2</v>
      </c>
      <c r="F25" s="13" t="s">
        <v>401</v>
      </c>
      <c r="H25" s="19" t="s">
        <v>378</v>
      </c>
      <c r="I25" s="11" t="b">
        <f>IF(AND(J25=F25,K25=G25, L25=A25,C25=N25,O25=D25),TRUE, FALSE)</f>
        <v>1</v>
      </c>
      <c r="J25" s="5" t="s">
        <v>401</v>
      </c>
      <c r="L25" s="5" t="s">
        <v>470</v>
      </c>
      <c r="N25" s="5" t="s">
        <v>495</v>
      </c>
      <c r="O25" s="5" t="s">
        <v>496</v>
      </c>
    </row>
    <row r="26" spans="1:15">
      <c r="E26" s="5">
        <f t="shared" ca="1" si="0"/>
        <v>7.1604546705743191E-2</v>
      </c>
      <c r="F26" s="13" t="s">
        <v>255</v>
      </c>
      <c r="G26" s="9" t="s">
        <v>360</v>
      </c>
      <c r="H26" s="13" t="s">
        <v>256</v>
      </c>
      <c r="I26" s="11" t="b">
        <f>IF(AND(J26=F26,K26=G26),TRUE, FALSE)</f>
        <v>1</v>
      </c>
      <c r="J26" s="5" t="s">
        <v>255</v>
      </c>
      <c r="K26" s="13" t="s">
        <v>360</v>
      </c>
    </row>
    <row r="27" spans="1:15">
      <c r="E27" s="5">
        <f t="shared" ca="1" si="0"/>
        <v>0.12546262818481088</v>
      </c>
      <c r="F27" s="13" t="s">
        <v>274</v>
      </c>
      <c r="G27" s="9" t="s">
        <v>360</v>
      </c>
      <c r="H27" s="13" t="s">
        <v>275</v>
      </c>
      <c r="I27" s="11" t="b">
        <f>IF(AND(J27=F27,K27=G27),TRUE, FALSE)</f>
        <v>1</v>
      </c>
      <c r="J27" s="5" t="s">
        <v>274</v>
      </c>
      <c r="K27" s="13" t="s">
        <v>360</v>
      </c>
    </row>
    <row r="28" spans="1:15">
      <c r="E28" s="5">
        <f t="shared" ca="1" si="0"/>
        <v>9.1423708524372246E-2</v>
      </c>
      <c r="F28" s="13" t="s">
        <v>141</v>
      </c>
      <c r="G28" s="9" t="s">
        <v>360</v>
      </c>
      <c r="H28" s="13" t="s">
        <v>142</v>
      </c>
      <c r="I28" s="11" t="b">
        <f>IF(AND(J28=F28,K28=G28),TRUE, FALSE)</f>
        <v>1</v>
      </c>
      <c r="J28" s="5" t="s">
        <v>141</v>
      </c>
      <c r="K28" s="13" t="s">
        <v>360</v>
      </c>
    </row>
    <row r="29" spans="1:15">
      <c r="E29" s="5">
        <f t="shared" ca="1" si="0"/>
        <v>2.579084802652273E-2</v>
      </c>
      <c r="F29" s="13" t="s">
        <v>191</v>
      </c>
      <c r="G29" s="9" t="s">
        <v>360</v>
      </c>
      <c r="H29" s="13" t="s">
        <v>192</v>
      </c>
      <c r="I29" s="11" t="b">
        <f>IF(AND(J29=F29,K29=G29),TRUE, FALSE)</f>
        <v>1</v>
      </c>
      <c r="J29" s="5" t="s">
        <v>191</v>
      </c>
      <c r="K29" s="13" t="s">
        <v>360</v>
      </c>
    </row>
    <row r="30" spans="1:15">
      <c r="E30" s="5">
        <f t="shared" ca="1" si="0"/>
        <v>0.12141202279040053</v>
      </c>
      <c r="F30" s="14" t="s">
        <v>386</v>
      </c>
      <c r="G30" s="8" t="s">
        <v>388</v>
      </c>
      <c r="H30" s="14" t="s">
        <v>271</v>
      </c>
      <c r="I30" s="11" t="b">
        <f>IF(AND(J30=F30,K30=G30),TRUE, FALSE)</f>
        <v>1</v>
      </c>
      <c r="J30" s="5" t="s">
        <v>386</v>
      </c>
      <c r="K30" s="13" t="s">
        <v>388</v>
      </c>
    </row>
    <row r="31" spans="1:15">
      <c r="C31" s="13" t="s">
        <v>509</v>
      </c>
      <c r="E31" s="5">
        <f t="shared" ca="1" si="0"/>
        <v>2.1360069888155038E-2</v>
      </c>
      <c r="F31" s="13" t="s">
        <v>86</v>
      </c>
      <c r="H31" s="17" t="s">
        <v>87</v>
      </c>
      <c r="I31" s="11" t="b">
        <f>IF(AND(J31=F31,K31=G31,C31=N31),TRUE, FALSE)</f>
        <v>1</v>
      </c>
      <c r="J31" s="5" t="s">
        <v>86</v>
      </c>
      <c r="N31" s="5" t="s">
        <v>509</v>
      </c>
    </row>
    <row r="32" spans="1:15">
      <c r="A32" s="13" t="s">
        <v>429</v>
      </c>
      <c r="B32" s="13" t="s">
        <v>430</v>
      </c>
      <c r="C32" s="13" t="s">
        <v>506</v>
      </c>
      <c r="E32" s="5">
        <f t="shared" ca="1" si="0"/>
        <v>0.10494385002832221</v>
      </c>
      <c r="F32" s="13" t="s">
        <v>168</v>
      </c>
      <c r="H32" s="18" t="s">
        <v>169</v>
      </c>
      <c r="I32" s="11" t="b">
        <f>IF(AND(J32=F32,K32=G32,L32=A32,M32=B32,C32=N32),TRUE, FALSE)</f>
        <v>1</v>
      </c>
      <c r="J32" s="5" t="s">
        <v>168</v>
      </c>
      <c r="L32" s="5" t="s">
        <v>429</v>
      </c>
      <c r="M32" s="5" t="s">
        <v>430</v>
      </c>
      <c r="N32" s="5" t="s">
        <v>506</v>
      </c>
    </row>
    <row r="33" spans="1:12">
      <c r="E33" s="5">
        <f t="shared" ref="E33:E64" ca="1" si="1">-(RAND()-1)/7</f>
        <v>1.2616322296205812E-3</v>
      </c>
      <c r="F33" s="13" t="s">
        <v>177</v>
      </c>
      <c r="G33" s="9" t="s">
        <v>360</v>
      </c>
      <c r="H33" s="13" t="s">
        <v>151</v>
      </c>
      <c r="I33" s="11" t="b">
        <f>IF(AND(J33=F33,K33=G33),TRUE, FALSE)</f>
        <v>1</v>
      </c>
      <c r="J33" s="5" t="s">
        <v>177</v>
      </c>
      <c r="K33" s="13" t="s">
        <v>360</v>
      </c>
    </row>
    <row r="34" spans="1:12">
      <c r="E34" s="5">
        <f t="shared" ca="1" si="1"/>
        <v>0.11816336461810105</v>
      </c>
      <c r="F34" s="13" t="s">
        <v>147</v>
      </c>
      <c r="G34" s="9" t="s">
        <v>360</v>
      </c>
      <c r="H34" s="13" t="s">
        <v>228</v>
      </c>
      <c r="I34" s="11" t="b">
        <f>IF(AND(J34=F34,K34=G34),TRUE, FALSE)</f>
        <v>1</v>
      </c>
      <c r="J34" s="5" t="s">
        <v>147</v>
      </c>
      <c r="K34" s="13" t="s">
        <v>360</v>
      </c>
    </row>
    <row r="35" spans="1:12">
      <c r="E35" s="5">
        <f t="shared" ca="1" si="1"/>
        <v>0.12523132834797726</v>
      </c>
      <c r="F35" s="13" t="s">
        <v>105</v>
      </c>
      <c r="G35" s="9" t="s">
        <v>360</v>
      </c>
      <c r="H35" s="13" t="s">
        <v>130</v>
      </c>
      <c r="I35" s="11" t="b">
        <f>IF(AND(J35=F35,K35=G35),TRUE, FALSE)</f>
        <v>1</v>
      </c>
      <c r="J35" s="5" t="s">
        <v>105</v>
      </c>
      <c r="K35" s="13" t="s">
        <v>360</v>
      </c>
    </row>
    <row r="36" spans="1:12">
      <c r="E36" s="5">
        <f t="shared" ca="1" si="1"/>
        <v>0.10939883424002518</v>
      </c>
      <c r="F36" s="13" t="s">
        <v>67</v>
      </c>
      <c r="G36" s="9" t="s">
        <v>360</v>
      </c>
      <c r="H36" s="13" t="s">
        <v>68</v>
      </c>
      <c r="I36" s="11" t="b">
        <f>IF(AND(J36=F36,K36=G36),TRUE, FALSE)</f>
        <v>1</v>
      </c>
      <c r="J36" s="5" t="s">
        <v>67</v>
      </c>
      <c r="K36" s="13" t="s">
        <v>360</v>
      </c>
    </row>
    <row r="37" spans="1:12">
      <c r="E37" s="5">
        <f t="shared" ca="1" si="1"/>
        <v>8.0415834849673865E-4</v>
      </c>
      <c r="F37" s="14" t="s">
        <v>384</v>
      </c>
      <c r="G37" s="8" t="s">
        <v>388</v>
      </c>
      <c r="H37" s="14" t="s">
        <v>336</v>
      </c>
      <c r="I37" s="11" t="b">
        <f>IF(AND(J37=F37,K37=G37),TRUE, FALSE)</f>
        <v>1</v>
      </c>
      <c r="J37" s="5" t="s">
        <v>384</v>
      </c>
      <c r="K37" s="13" t="s">
        <v>388</v>
      </c>
    </row>
    <row r="38" spans="1:12">
      <c r="A38" s="13" t="s">
        <v>474</v>
      </c>
      <c r="E38" s="5">
        <f t="shared" ca="1" si="1"/>
        <v>5.2207520772602302E-2</v>
      </c>
      <c r="F38" s="13" t="s">
        <v>90</v>
      </c>
      <c r="H38" s="15" t="s">
        <v>91</v>
      </c>
      <c r="I38" s="11" t="b">
        <f>IF(AND(J38=F38,K38=G38,L38=A38),TRUE, FALSE)</f>
        <v>1</v>
      </c>
      <c r="J38" s="5" t="s">
        <v>90</v>
      </c>
      <c r="L38" s="5" t="s">
        <v>474</v>
      </c>
    </row>
    <row r="39" spans="1:12">
      <c r="E39" s="5">
        <f t="shared" ca="1" si="1"/>
        <v>2.7724314973181237E-2</v>
      </c>
      <c r="F39" s="13" t="s">
        <v>0</v>
      </c>
      <c r="G39" s="9" t="s">
        <v>360</v>
      </c>
      <c r="H39" s="13" t="s">
        <v>5</v>
      </c>
      <c r="I39" s="11" t="b">
        <f>IF(AND(J39=F39,K39=G39),TRUE, FALSE)</f>
        <v>1</v>
      </c>
      <c r="J39" s="5" t="s">
        <v>0</v>
      </c>
      <c r="K39" s="13" t="s">
        <v>360</v>
      </c>
    </row>
    <row r="40" spans="1:12">
      <c r="E40" s="5">
        <f t="shared" ca="1" si="1"/>
        <v>3.0215427076504025E-2</v>
      </c>
      <c r="F40" s="14" t="s">
        <v>354</v>
      </c>
      <c r="G40" s="8" t="s">
        <v>388</v>
      </c>
      <c r="H40" s="14" t="s">
        <v>355</v>
      </c>
      <c r="I40" s="11" t="b">
        <f>IF(AND(J40=F40,K40=G40),TRUE, FALSE)</f>
        <v>1</v>
      </c>
      <c r="J40" s="5" t="s">
        <v>354</v>
      </c>
      <c r="K40" s="13" t="s">
        <v>388</v>
      </c>
    </row>
    <row r="41" spans="1:12">
      <c r="A41" s="13" t="s">
        <v>475</v>
      </c>
      <c r="E41" s="5">
        <f t="shared" ca="1" si="1"/>
        <v>4.6546543204556104E-2</v>
      </c>
      <c r="F41" s="13" t="s">
        <v>299</v>
      </c>
      <c r="H41" s="15" t="s">
        <v>307</v>
      </c>
      <c r="I41" s="11" t="b">
        <f>IF(AND(J41=F41,K41=G41,L41=A41),TRUE, FALSE)</f>
        <v>1</v>
      </c>
      <c r="J41" s="5" t="s">
        <v>299</v>
      </c>
      <c r="L41" s="5" t="s">
        <v>475</v>
      </c>
    </row>
    <row r="42" spans="1:12">
      <c r="E42" s="5">
        <f t="shared" ca="1" si="1"/>
        <v>9.2048029413423799E-2</v>
      </c>
      <c r="F42" s="13" t="s">
        <v>48</v>
      </c>
      <c r="G42" s="9" t="s">
        <v>360</v>
      </c>
      <c r="H42" s="13" t="s">
        <v>49</v>
      </c>
      <c r="I42" s="11" t="b">
        <f>IF(AND(J42=F42,K42=G42),TRUE, FALSE)</f>
        <v>1</v>
      </c>
      <c r="J42" s="5" t="s">
        <v>48</v>
      </c>
      <c r="K42" s="13" t="s">
        <v>360</v>
      </c>
    </row>
    <row r="43" spans="1:12">
      <c r="E43" s="5">
        <f t="shared" ca="1" si="1"/>
        <v>0.11754392832055302</v>
      </c>
      <c r="F43" s="14" t="s">
        <v>387</v>
      </c>
      <c r="G43" s="8" t="s">
        <v>388</v>
      </c>
      <c r="H43" s="14" t="s">
        <v>271</v>
      </c>
      <c r="I43" s="11" t="b">
        <f>IF(AND(J43=F43,K43=G43),TRUE, FALSE)</f>
        <v>1</v>
      </c>
      <c r="J43" s="5" t="s">
        <v>387</v>
      </c>
      <c r="K43" s="13" t="s">
        <v>388</v>
      </c>
    </row>
    <row r="44" spans="1:12">
      <c r="E44" s="5">
        <f t="shared" ca="1" si="1"/>
        <v>9.0904645785549493E-2</v>
      </c>
      <c r="F44" s="13" t="s">
        <v>305</v>
      </c>
      <c r="G44" s="9" t="s">
        <v>360</v>
      </c>
      <c r="H44" s="13" t="s">
        <v>261</v>
      </c>
      <c r="I44" s="11" t="b">
        <f>IF(AND(J44=F44,K44=G44),TRUE, FALSE)</f>
        <v>1</v>
      </c>
      <c r="J44" s="5" t="s">
        <v>305</v>
      </c>
      <c r="K44" s="13" t="s">
        <v>360</v>
      </c>
    </row>
    <row r="45" spans="1:12">
      <c r="E45" s="5">
        <f t="shared" ca="1" si="1"/>
        <v>4.9261808065922874E-3</v>
      </c>
      <c r="F45" s="13" t="s">
        <v>133</v>
      </c>
      <c r="G45" s="9" t="s">
        <v>360</v>
      </c>
      <c r="H45" s="13" t="s">
        <v>134</v>
      </c>
      <c r="I45" s="11" t="b">
        <f>IF(AND(J45=F45,K45=G45),TRUE, FALSE)</f>
        <v>1</v>
      </c>
      <c r="J45" s="5" t="s">
        <v>133</v>
      </c>
      <c r="K45" s="13" t="s">
        <v>360</v>
      </c>
    </row>
    <row r="46" spans="1:12">
      <c r="E46" s="5">
        <f t="shared" ca="1" si="1"/>
        <v>0.1220170641874211</v>
      </c>
      <c r="F46" s="14" t="s">
        <v>344</v>
      </c>
      <c r="G46" s="8" t="s">
        <v>388</v>
      </c>
      <c r="H46" s="14" t="s">
        <v>345</v>
      </c>
      <c r="I46" s="11" t="b">
        <f>IF(AND(J46=F46,K46=G46),TRUE, FALSE)</f>
        <v>1</v>
      </c>
      <c r="J46" s="5" t="s">
        <v>344</v>
      </c>
      <c r="K46" s="13" t="s">
        <v>388</v>
      </c>
    </row>
    <row r="47" spans="1:12">
      <c r="A47" s="13" t="s">
        <v>488</v>
      </c>
      <c r="E47" s="5">
        <f t="shared" ca="1" si="1"/>
        <v>8.7178802400441277E-2</v>
      </c>
      <c r="F47" s="14" t="s">
        <v>371</v>
      </c>
      <c r="G47" s="8"/>
      <c r="H47" s="16" t="s">
        <v>372</v>
      </c>
      <c r="I47" s="11" t="b">
        <f>IF(AND(J47=F47,L47=A47),TRUE, FALSE)</f>
        <v>1</v>
      </c>
      <c r="J47" s="5" t="s">
        <v>371</v>
      </c>
      <c r="L47" s="5" t="s">
        <v>488</v>
      </c>
    </row>
    <row r="48" spans="1:12">
      <c r="E48" s="5">
        <f t="shared" ca="1" si="1"/>
        <v>7.7603577288151551E-2</v>
      </c>
      <c r="F48" s="13" t="s">
        <v>44</v>
      </c>
      <c r="G48" s="9" t="s">
        <v>360</v>
      </c>
      <c r="H48" s="13" t="s">
        <v>45</v>
      </c>
      <c r="I48" s="11" t="b">
        <f>IF(AND(J48=F48,K48=G48),TRUE, FALSE)</f>
        <v>1</v>
      </c>
      <c r="J48" s="5" t="s">
        <v>44</v>
      </c>
      <c r="K48" s="13" t="s">
        <v>360</v>
      </c>
    </row>
    <row r="49" spans="1:32">
      <c r="E49" s="5">
        <f t="shared" ca="1" si="1"/>
        <v>4.4287118733676301E-2</v>
      </c>
      <c r="F49" s="13" t="s">
        <v>152</v>
      </c>
      <c r="G49" s="9" t="s">
        <v>360</v>
      </c>
      <c r="H49" s="13" t="s">
        <v>153</v>
      </c>
      <c r="I49" s="11" t="b">
        <f>IF(AND(J49=F49,K49=G49),TRUE, FALSE)</f>
        <v>1</v>
      </c>
      <c r="J49" s="5" t="s">
        <v>152</v>
      </c>
      <c r="K49" s="13" t="s">
        <v>360</v>
      </c>
    </row>
    <row r="50" spans="1:32">
      <c r="C50" s="13" t="s">
        <v>490</v>
      </c>
      <c r="E50" s="5">
        <f t="shared" ca="1" si="1"/>
        <v>0.1366578748672598</v>
      </c>
      <c r="F50" s="13" t="s">
        <v>22</v>
      </c>
      <c r="H50" s="17" t="s">
        <v>23</v>
      </c>
      <c r="I50" s="11" t="b">
        <f>IF(AND(J50=F50,K50=G50,C50=N50),TRUE, FALSE)</f>
        <v>1</v>
      </c>
      <c r="J50" s="5" t="s">
        <v>22</v>
      </c>
      <c r="N50" s="5" t="s">
        <v>490</v>
      </c>
    </row>
    <row r="51" spans="1:32">
      <c r="E51" s="5">
        <f t="shared" ca="1" si="1"/>
        <v>0.1253002438070418</v>
      </c>
      <c r="F51" s="13" t="s">
        <v>266</v>
      </c>
      <c r="G51" s="9" t="s">
        <v>360</v>
      </c>
      <c r="H51" s="13" t="s">
        <v>267</v>
      </c>
      <c r="I51" s="11" t="b">
        <f>IF(AND(J51=F51,K51=G51),TRUE, FALSE)</f>
        <v>1</v>
      </c>
      <c r="J51" s="5" t="s">
        <v>266</v>
      </c>
      <c r="K51" s="13" t="s">
        <v>360</v>
      </c>
    </row>
    <row r="52" spans="1:32">
      <c r="E52" s="5">
        <f t="shared" ca="1" si="1"/>
        <v>5.2116785238686091E-2</v>
      </c>
      <c r="F52" s="13" t="s">
        <v>60</v>
      </c>
      <c r="G52" s="9" t="s">
        <v>360</v>
      </c>
      <c r="H52" s="13" t="s">
        <v>61</v>
      </c>
      <c r="I52" s="11" t="b">
        <f>IF(AND(J52=F52,K52=G52),TRUE, FALSE)</f>
        <v>1</v>
      </c>
      <c r="J52" s="5" t="s">
        <v>60</v>
      </c>
      <c r="K52" s="13" t="s">
        <v>360</v>
      </c>
    </row>
    <row r="53" spans="1:32">
      <c r="E53" s="5">
        <f t="shared" ca="1" si="1"/>
        <v>6.7447689944062153E-2</v>
      </c>
      <c r="F53" s="14" t="s">
        <v>348</v>
      </c>
      <c r="G53" s="8" t="s">
        <v>388</v>
      </c>
      <c r="H53" s="14" t="s">
        <v>349</v>
      </c>
      <c r="I53" s="11" t="b">
        <f>IF(AND(J53=F53,K53=G53),TRUE, FALSE)</f>
        <v>1</v>
      </c>
      <c r="J53" s="5" t="s">
        <v>348</v>
      </c>
      <c r="K53" s="13" t="s">
        <v>388</v>
      </c>
    </row>
    <row r="54" spans="1:32">
      <c r="E54" s="5">
        <f t="shared" ca="1" si="1"/>
        <v>0.14220358980849049</v>
      </c>
      <c r="F54" s="13" t="s">
        <v>206</v>
      </c>
      <c r="H54" s="13" t="s">
        <v>207</v>
      </c>
      <c r="I54" s="11" t="b">
        <f>IF(AND(J54=F54,K54=G54),TRUE, FALSE)</f>
        <v>1</v>
      </c>
      <c r="J54" s="5" t="s">
        <v>206</v>
      </c>
    </row>
    <row r="55" spans="1:32">
      <c r="E55" s="5">
        <f t="shared" ca="1" si="1"/>
        <v>1.4584660589081875E-2</v>
      </c>
      <c r="F55" s="14" t="s">
        <v>363</v>
      </c>
      <c r="G55" s="8"/>
      <c r="H55" s="14" t="s">
        <v>364</v>
      </c>
      <c r="I55" s="11" t="b">
        <f>IF(AND(J55=F55,K55=G55),TRUE, FALSE)</f>
        <v>1</v>
      </c>
      <c r="J55" s="5" t="s">
        <v>363</v>
      </c>
    </row>
    <row r="56" spans="1:32">
      <c r="A56" s="13" t="s">
        <v>473</v>
      </c>
      <c r="E56" s="5">
        <f t="shared" ca="1" si="1"/>
        <v>0.10141459841041063</v>
      </c>
      <c r="F56" s="13" t="s">
        <v>281</v>
      </c>
      <c r="H56" s="15" t="s">
        <v>282</v>
      </c>
      <c r="I56" s="11" t="b">
        <f>IF(AND(J56=F56,K56=G56,L56=A56),TRUE, FALSE)</f>
        <v>1</v>
      </c>
      <c r="J56" s="5" t="s">
        <v>281</v>
      </c>
      <c r="L56" s="5" t="s">
        <v>473</v>
      </c>
    </row>
    <row r="57" spans="1:32">
      <c r="A57" s="13" t="s">
        <v>489</v>
      </c>
      <c r="E57" s="5">
        <f t="shared" ca="1" si="1"/>
        <v>0.12976698328726594</v>
      </c>
      <c r="F57" s="13" t="s">
        <v>298</v>
      </c>
      <c r="H57" s="15" t="s">
        <v>301</v>
      </c>
      <c r="I57" s="11" t="b">
        <f>IF(AND(J57=F57,L57=A57),TRUE, FALSE)</f>
        <v>1</v>
      </c>
      <c r="J57" s="5" t="s">
        <v>298</v>
      </c>
      <c r="L57" s="5" t="s">
        <v>489</v>
      </c>
      <c r="AF57" t="s">
        <v>451</v>
      </c>
    </row>
    <row r="58" spans="1:32">
      <c r="E58" s="5">
        <f t="shared" ca="1" si="1"/>
        <v>3.7672931637831079E-2</v>
      </c>
      <c r="F58" s="13" t="s">
        <v>181</v>
      </c>
      <c r="G58" s="9" t="s">
        <v>360</v>
      </c>
      <c r="H58" s="13" t="s">
        <v>151</v>
      </c>
      <c r="I58" s="11" t="b">
        <f>IF(AND(J58=F58,K58=G58),TRUE, FALSE)</f>
        <v>1</v>
      </c>
      <c r="J58" s="5" t="s">
        <v>181</v>
      </c>
      <c r="K58" s="13" t="s">
        <v>360</v>
      </c>
    </row>
    <row r="59" spans="1:32">
      <c r="E59" s="5">
        <f t="shared" ca="1" si="1"/>
        <v>3.7325190412069241E-2</v>
      </c>
      <c r="F59" s="13" t="s">
        <v>278</v>
      </c>
      <c r="G59" s="9" t="s">
        <v>360</v>
      </c>
      <c r="H59" s="13" t="s">
        <v>304</v>
      </c>
      <c r="I59" s="11" t="b">
        <f>IF(AND(J59=F59,K59=G59),TRUE, FALSE)</f>
        <v>1</v>
      </c>
      <c r="J59" s="5" t="s">
        <v>278</v>
      </c>
      <c r="K59" s="13" t="s">
        <v>360</v>
      </c>
    </row>
    <row r="60" spans="1:32">
      <c r="A60" s="13" t="s">
        <v>427</v>
      </c>
      <c r="B60" s="13" t="s">
        <v>428</v>
      </c>
      <c r="E60" s="5">
        <f t="shared" ca="1" si="1"/>
        <v>8.2436180394617711E-2</v>
      </c>
      <c r="F60" s="13" t="s">
        <v>36</v>
      </c>
      <c r="H60" s="15" t="s">
        <v>37</v>
      </c>
      <c r="I60" s="11" t="b">
        <f>IF(AND(J60=F60,K60=G60,L60=A60,M60=B60),TRUE, FALSE)</f>
        <v>1</v>
      </c>
      <c r="J60" s="5" t="s">
        <v>36</v>
      </c>
      <c r="L60" s="5" t="s">
        <v>427</v>
      </c>
      <c r="M60" s="5" t="s">
        <v>428</v>
      </c>
    </row>
    <row r="61" spans="1:32">
      <c r="A61" s="13" t="s">
        <v>480</v>
      </c>
      <c r="E61" s="5">
        <f t="shared" ca="1" si="1"/>
        <v>0.10497256500675287</v>
      </c>
      <c r="F61" s="13" t="s">
        <v>302</v>
      </c>
      <c r="H61" s="15" t="s">
        <v>303</v>
      </c>
      <c r="I61" s="11" t="b">
        <f>IF(AND(J61=F61,K61=G61,L61=A61),TRUE, FALSE)</f>
        <v>1</v>
      </c>
      <c r="J61" s="5" t="s">
        <v>302</v>
      </c>
      <c r="L61" s="5" t="s">
        <v>480</v>
      </c>
    </row>
    <row r="62" spans="1:32">
      <c r="E62" s="5">
        <f t="shared" ca="1" si="1"/>
        <v>0.13867507527313522</v>
      </c>
      <c r="F62" s="13" t="s">
        <v>46</v>
      </c>
      <c r="G62" s="9" t="s">
        <v>360</v>
      </c>
      <c r="H62" s="13" t="s">
        <v>47</v>
      </c>
      <c r="I62" s="11" t="b">
        <f>IF(AND(J62=F62,K62=G62),TRUE, FALSE)</f>
        <v>1</v>
      </c>
      <c r="J62" s="5" t="s">
        <v>46</v>
      </c>
      <c r="K62" s="13" t="s">
        <v>360</v>
      </c>
    </row>
    <row r="63" spans="1:32">
      <c r="E63" s="5">
        <f t="shared" ca="1" si="1"/>
        <v>0.11173607770124316</v>
      </c>
      <c r="F63" s="13" t="s">
        <v>127</v>
      </c>
      <c r="G63" s="9" t="s">
        <v>360</v>
      </c>
      <c r="H63" s="13" t="s">
        <v>128</v>
      </c>
      <c r="I63" s="11" t="b">
        <f>IF(AND(J63=F63,K63=G63),TRUE, FALSE)</f>
        <v>1</v>
      </c>
      <c r="J63" s="5" t="s">
        <v>127</v>
      </c>
      <c r="K63" s="13" t="s">
        <v>360</v>
      </c>
    </row>
    <row r="64" spans="1:32">
      <c r="E64" s="5">
        <f t="shared" ca="1" si="1"/>
        <v>0.10634091271595834</v>
      </c>
      <c r="F64" s="14" t="s">
        <v>340</v>
      </c>
      <c r="G64" s="8" t="s">
        <v>388</v>
      </c>
      <c r="H64" s="14" t="s">
        <v>341</v>
      </c>
      <c r="I64" s="11" t="b">
        <f>IF(AND(J64=F64,K64=G64),TRUE, FALSE)</f>
        <v>1</v>
      </c>
      <c r="J64" s="5" t="s">
        <v>340</v>
      </c>
      <c r="K64" s="13" t="s">
        <v>388</v>
      </c>
    </row>
    <row r="65" spans="1:14">
      <c r="E65" s="5">
        <f t="shared" ref="E65:E96" ca="1" si="2">-(RAND()-1)/7</f>
        <v>4.9491800647769889E-2</v>
      </c>
      <c r="F65" s="13" t="s">
        <v>117</v>
      </c>
      <c r="G65" s="9" t="s">
        <v>360</v>
      </c>
      <c r="H65" s="13" t="s">
        <v>118</v>
      </c>
      <c r="I65" s="11" t="b">
        <f>IF(AND(J65=F65,K65=G65),TRUE, FALSE)</f>
        <v>1</v>
      </c>
      <c r="J65" s="5" t="s">
        <v>117</v>
      </c>
      <c r="K65" s="13" t="s">
        <v>360</v>
      </c>
    </row>
    <row r="66" spans="1:14">
      <c r="A66" s="13" t="s">
        <v>464</v>
      </c>
      <c r="C66" s="13" t="s">
        <v>515</v>
      </c>
      <c r="E66" s="5">
        <f t="shared" ca="1" si="2"/>
        <v>2.0090115361720846E-2</v>
      </c>
      <c r="F66" s="13" t="s">
        <v>285</v>
      </c>
      <c r="H66" s="18" t="s">
        <v>286</v>
      </c>
      <c r="I66" s="11" t="b">
        <f>IF(AND(J66=F66,K66=G66, L66=A66,C66=N66),TRUE, FALSE)</f>
        <v>1</v>
      </c>
      <c r="J66" s="5" t="s">
        <v>285</v>
      </c>
      <c r="L66" s="5" t="s">
        <v>464</v>
      </c>
      <c r="N66" s="5" t="s">
        <v>515</v>
      </c>
    </row>
    <row r="67" spans="1:14">
      <c r="E67" s="5">
        <f t="shared" ca="1" si="2"/>
        <v>3.0188247823611292E-2</v>
      </c>
      <c r="F67" s="13" t="s">
        <v>257</v>
      </c>
      <c r="G67" s="9" t="s">
        <v>360</v>
      </c>
      <c r="H67" s="13" t="s">
        <v>258</v>
      </c>
      <c r="I67" s="11" t="b">
        <f t="shared" ref="I67:I74" si="3">IF(AND(J67=F67,K67=G67),TRUE, FALSE)</f>
        <v>1</v>
      </c>
      <c r="J67" s="5" t="s">
        <v>257</v>
      </c>
      <c r="K67" s="13" t="s">
        <v>360</v>
      </c>
    </row>
    <row r="68" spans="1:14">
      <c r="E68" s="5">
        <f t="shared" ca="1" si="2"/>
        <v>0.11145498686174003</v>
      </c>
      <c r="F68" s="13" t="s">
        <v>72</v>
      </c>
      <c r="G68" s="9" t="s">
        <v>360</v>
      </c>
      <c r="H68" s="13" t="s">
        <v>2</v>
      </c>
      <c r="I68" s="11" t="b">
        <f t="shared" si="3"/>
        <v>1</v>
      </c>
      <c r="J68" s="5" t="s">
        <v>72</v>
      </c>
      <c r="K68" s="13" t="s">
        <v>360</v>
      </c>
    </row>
    <row r="69" spans="1:14">
      <c r="E69" s="5">
        <f t="shared" ca="1" si="2"/>
        <v>0.12532213909361303</v>
      </c>
      <c r="F69" s="13" t="s">
        <v>137</v>
      </c>
      <c r="G69" s="9" t="s">
        <v>360</v>
      </c>
      <c r="H69" s="13" t="s">
        <v>138</v>
      </c>
      <c r="I69" s="11" t="b">
        <f t="shared" si="3"/>
        <v>1</v>
      </c>
      <c r="J69" s="5" t="s">
        <v>137</v>
      </c>
      <c r="K69" s="13" t="s">
        <v>360</v>
      </c>
    </row>
    <row r="70" spans="1:14">
      <c r="E70" s="5">
        <f t="shared" ca="1" si="2"/>
        <v>0.12664695126346959</v>
      </c>
      <c r="F70" s="13" t="s">
        <v>101</v>
      </c>
      <c r="G70" s="9" t="s">
        <v>360</v>
      </c>
      <c r="H70" s="13" t="s">
        <v>102</v>
      </c>
      <c r="I70" s="11" t="b">
        <f t="shared" si="3"/>
        <v>1</v>
      </c>
      <c r="J70" s="5" t="s">
        <v>101</v>
      </c>
      <c r="K70" s="13" t="s">
        <v>360</v>
      </c>
    </row>
    <row r="71" spans="1:14">
      <c r="E71" s="5">
        <f t="shared" ca="1" si="2"/>
        <v>4.497680490115287E-2</v>
      </c>
      <c r="F71" s="13" t="s">
        <v>20</v>
      </c>
      <c r="H71" s="13" t="s">
        <v>449</v>
      </c>
      <c r="I71" s="11" t="b">
        <f t="shared" si="3"/>
        <v>1</v>
      </c>
      <c r="J71" s="5" t="s">
        <v>20</v>
      </c>
    </row>
    <row r="72" spans="1:14">
      <c r="E72" s="5">
        <f t="shared" ca="1" si="2"/>
        <v>0.12073792079827869</v>
      </c>
      <c r="F72" s="13" t="s">
        <v>62</v>
      </c>
      <c r="G72" s="9" t="s">
        <v>360</v>
      </c>
      <c r="H72" s="13" t="s">
        <v>63</v>
      </c>
      <c r="I72" s="11" t="b">
        <f t="shared" si="3"/>
        <v>1</v>
      </c>
      <c r="J72" s="5" t="s">
        <v>62</v>
      </c>
      <c r="K72" s="13" t="s">
        <v>360</v>
      </c>
    </row>
    <row r="73" spans="1:14">
      <c r="E73" s="5">
        <f t="shared" ca="1" si="2"/>
        <v>0.10854693771768213</v>
      </c>
      <c r="F73" s="13" t="s">
        <v>292</v>
      </c>
      <c r="H73" s="13" t="s">
        <v>293</v>
      </c>
      <c r="I73" s="11" t="b">
        <f t="shared" si="3"/>
        <v>1</v>
      </c>
      <c r="J73" s="5" t="s">
        <v>292</v>
      </c>
    </row>
    <row r="74" spans="1:14">
      <c r="E74" s="5">
        <f t="shared" ca="1" si="2"/>
        <v>4.1057828829017269E-2</v>
      </c>
      <c r="F74" s="13" t="s">
        <v>182</v>
      </c>
      <c r="G74" s="9" t="s">
        <v>360</v>
      </c>
      <c r="H74" s="13" t="s">
        <v>155</v>
      </c>
      <c r="I74" s="11" t="b">
        <f t="shared" si="3"/>
        <v>1</v>
      </c>
      <c r="J74" s="5" t="s">
        <v>182</v>
      </c>
      <c r="K74" s="13" t="s">
        <v>360</v>
      </c>
    </row>
    <row r="75" spans="1:14">
      <c r="A75" s="13" t="s">
        <v>487</v>
      </c>
      <c r="E75" s="5">
        <f t="shared" ca="1" si="2"/>
        <v>3.8592323354944127E-2</v>
      </c>
      <c r="F75" s="13" t="s">
        <v>162</v>
      </c>
      <c r="H75" s="15" t="s">
        <v>163</v>
      </c>
      <c r="I75" s="11" t="b">
        <f>IF(AND(J75=F75,L75=A75),TRUE, FALSE)</f>
        <v>1</v>
      </c>
      <c r="J75" s="5" t="s">
        <v>162</v>
      </c>
      <c r="L75" s="5" t="s">
        <v>487</v>
      </c>
    </row>
    <row r="76" spans="1:14">
      <c r="E76" s="5">
        <f t="shared" ca="1" si="2"/>
        <v>0.12322240326329792</v>
      </c>
      <c r="F76" s="13" t="s">
        <v>224</v>
      </c>
      <c r="G76" s="9" t="s">
        <v>360</v>
      </c>
      <c r="H76" s="13" t="s">
        <v>254</v>
      </c>
      <c r="I76" s="11" t="b">
        <f>IF(AND(J76=F76,K76=G76),TRUE, FALSE)</f>
        <v>1</v>
      </c>
      <c r="J76" s="5" t="s">
        <v>224</v>
      </c>
      <c r="K76" s="13" t="s">
        <v>360</v>
      </c>
    </row>
    <row r="77" spans="1:14">
      <c r="C77" s="13" t="s">
        <v>497</v>
      </c>
      <c r="E77" s="5">
        <f t="shared" ca="1" si="2"/>
        <v>5.9479448029335124E-3</v>
      </c>
      <c r="F77" s="13" t="s">
        <v>24</v>
      </c>
      <c r="H77" s="17" t="s">
        <v>25</v>
      </c>
      <c r="I77" s="11" t="b">
        <f>IF(AND(J77=F77,K77=G77,C77=N77),TRUE, FALSE)</f>
        <v>1</v>
      </c>
      <c r="J77" s="5" t="s">
        <v>24</v>
      </c>
      <c r="N77" s="5" t="s">
        <v>497</v>
      </c>
    </row>
    <row r="78" spans="1:14">
      <c r="C78" s="13" t="s">
        <v>501</v>
      </c>
      <c r="E78" s="5">
        <f t="shared" ca="1" si="2"/>
        <v>8.1922109035080889E-2</v>
      </c>
      <c r="F78" s="13" t="s">
        <v>76</v>
      </c>
      <c r="H78" s="17" t="s">
        <v>77</v>
      </c>
      <c r="I78" s="11" t="b">
        <f>IF(AND(J78=F78,K78=G78,C78=N78),TRUE, FALSE)</f>
        <v>1</v>
      </c>
      <c r="J78" s="5" t="s">
        <v>76</v>
      </c>
      <c r="N78" s="5" t="s">
        <v>501</v>
      </c>
    </row>
    <row r="79" spans="1:14">
      <c r="A79" s="13" t="s">
        <v>444</v>
      </c>
      <c r="E79" s="5">
        <f t="shared" ca="1" si="2"/>
        <v>1.361012692781481E-2</v>
      </c>
      <c r="F79" s="13" t="s">
        <v>80</v>
      </c>
      <c r="H79" s="15" t="s">
        <v>81</v>
      </c>
      <c r="I79" s="11" t="b">
        <f>IF(AND(J79=F79,K79=G79,L79=A79),TRUE, FALSE)</f>
        <v>1</v>
      </c>
      <c r="J79" s="5" t="s">
        <v>80</v>
      </c>
      <c r="L79" s="5" t="s">
        <v>444</v>
      </c>
    </row>
    <row r="80" spans="1:14">
      <c r="E80" s="5">
        <f t="shared" ca="1" si="2"/>
        <v>0.13279437467232921</v>
      </c>
      <c r="F80" s="13" t="s">
        <v>32</v>
      </c>
      <c r="H80" s="13" t="s">
        <v>33</v>
      </c>
      <c r="I80" s="11" t="b">
        <f>IF(AND(J80=F80,K80=G80),TRUE, FALSE)</f>
        <v>1</v>
      </c>
      <c r="J80" s="5" t="s">
        <v>32</v>
      </c>
    </row>
    <row r="81" spans="1:14">
      <c r="E81" s="5">
        <f t="shared" ca="1" si="2"/>
        <v>5.2587585745225499E-2</v>
      </c>
      <c r="F81" s="14" t="s">
        <v>350</v>
      </c>
      <c r="G81" s="8" t="s">
        <v>388</v>
      </c>
      <c r="H81" s="14" t="s">
        <v>351</v>
      </c>
      <c r="I81" s="11" t="b">
        <f>IF(AND(J81=F81,K81=G81),TRUE, FALSE)</f>
        <v>1</v>
      </c>
      <c r="J81" s="5" t="s">
        <v>350</v>
      </c>
      <c r="K81" s="13" t="s">
        <v>388</v>
      </c>
    </row>
    <row r="82" spans="1:14">
      <c r="E82" s="5">
        <f t="shared" ca="1" si="2"/>
        <v>0.13975490981365943</v>
      </c>
      <c r="F82" s="13" t="s">
        <v>12</v>
      </c>
      <c r="G82" s="9" t="s">
        <v>360</v>
      </c>
      <c r="H82" s="13" t="s">
        <v>13</v>
      </c>
      <c r="I82" s="11" t="b">
        <f>IF(AND(J82=F82,K82=G82),TRUE, FALSE)</f>
        <v>1</v>
      </c>
      <c r="J82" s="5" t="s">
        <v>12</v>
      </c>
      <c r="K82" s="13" t="s">
        <v>360</v>
      </c>
    </row>
    <row r="83" spans="1:14">
      <c r="E83" s="5">
        <f t="shared" ca="1" si="2"/>
        <v>2.887274523518343E-2</v>
      </c>
      <c r="F83" s="13" t="s">
        <v>52</v>
      </c>
      <c r="G83" s="9" t="s">
        <v>360</v>
      </c>
      <c r="H83" s="13" t="s">
        <v>53</v>
      </c>
      <c r="I83" s="11" t="b">
        <f>IF(AND(J83=F83,K83=G83),TRUE, FALSE)</f>
        <v>1</v>
      </c>
      <c r="J83" s="5" t="s">
        <v>52</v>
      </c>
      <c r="K83" s="13" t="s">
        <v>360</v>
      </c>
    </row>
    <row r="84" spans="1:14">
      <c r="A84" s="13" t="s">
        <v>486</v>
      </c>
      <c r="C84" s="13" t="s">
        <v>498</v>
      </c>
      <c r="E84" s="5">
        <f t="shared" ca="1" si="2"/>
        <v>9.9240920197815788E-2</v>
      </c>
      <c r="F84" s="13" t="s">
        <v>164</v>
      </c>
      <c r="H84" s="18" t="s">
        <v>180</v>
      </c>
      <c r="I84" s="11" t="b">
        <f>IF(AND(J84=F84,L84=A84,C84=N84),TRUE, FALSE)</f>
        <v>1</v>
      </c>
      <c r="J84" s="5" t="s">
        <v>164</v>
      </c>
      <c r="L84" s="5" t="s">
        <v>486</v>
      </c>
      <c r="N84" s="5" t="s">
        <v>498</v>
      </c>
    </row>
    <row r="85" spans="1:14">
      <c r="A85" s="13" t="s">
        <v>472</v>
      </c>
      <c r="C85" s="13" t="s">
        <v>507</v>
      </c>
      <c r="E85" s="5">
        <f t="shared" ca="1" si="2"/>
        <v>9.6424533548958389E-3</v>
      </c>
      <c r="F85" s="13" t="s">
        <v>158</v>
      </c>
      <c r="H85" s="18" t="s">
        <v>159</v>
      </c>
      <c r="I85" s="11" t="b">
        <f>IF(AND(J85=F85,K85=G85,L85=A85,C85=N85),TRUE, FALSE)</f>
        <v>1</v>
      </c>
      <c r="J85" s="5" t="s">
        <v>158</v>
      </c>
      <c r="L85" s="5" t="s">
        <v>472</v>
      </c>
      <c r="N85" s="5" t="s">
        <v>507</v>
      </c>
    </row>
    <row r="86" spans="1:14">
      <c r="E86" s="5">
        <f t="shared" ca="1" si="2"/>
        <v>0.12464519281865502</v>
      </c>
      <c r="F86" s="13" t="s">
        <v>170</v>
      </c>
      <c r="H86" s="13" t="s">
        <v>391</v>
      </c>
      <c r="I86" s="11" t="b">
        <f>IF(AND(J86=F86,K86=G86),TRUE, FALSE)</f>
        <v>1</v>
      </c>
      <c r="J86" s="5" t="s">
        <v>170</v>
      </c>
    </row>
    <row r="87" spans="1:14">
      <c r="C87" s="13" t="s">
        <v>510</v>
      </c>
      <c r="E87" s="5">
        <f t="shared" ca="1" si="2"/>
        <v>9.1108853868286641E-2</v>
      </c>
      <c r="F87" s="13" t="s">
        <v>290</v>
      </c>
      <c r="H87" s="17" t="s">
        <v>293</v>
      </c>
      <c r="I87" s="11" t="b">
        <f>IF(AND(J87=F87,K87=G87,C87=N87),TRUE, FALSE)</f>
        <v>1</v>
      </c>
      <c r="J87" s="5" t="s">
        <v>290</v>
      </c>
      <c r="N87" s="5" t="s">
        <v>510</v>
      </c>
    </row>
    <row r="88" spans="1:14">
      <c r="C88" s="13" t="s">
        <v>513</v>
      </c>
      <c r="E88" s="5">
        <f t="shared" ca="1" si="2"/>
        <v>2.9176772643564886E-2</v>
      </c>
      <c r="F88" s="14" t="s">
        <v>375</v>
      </c>
      <c r="G88" s="8"/>
      <c r="H88" s="20" t="s">
        <v>396</v>
      </c>
      <c r="I88" s="11" t="b">
        <f>IF(AND(J88=F88,K88=G88,C88=N88),TRUE, FALSE)</f>
        <v>1</v>
      </c>
      <c r="J88" s="5" t="s">
        <v>375</v>
      </c>
      <c r="N88" s="5" t="s">
        <v>513</v>
      </c>
    </row>
    <row r="89" spans="1:14">
      <c r="E89" s="5">
        <f t="shared" ca="1" si="2"/>
        <v>1.6540613216424113E-3</v>
      </c>
      <c r="F89" s="14" t="s">
        <v>389</v>
      </c>
      <c r="G89" s="8" t="s">
        <v>388</v>
      </c>
      <c r="H89" s="14" t="s">
        <v>335</v>
      </c>
      <c r="I89" s="11" t="b">
        <f>IF(AND(J89=F89,K89=G89),TRUE, FALSE)</f>
        <v>1</v>
      </c>
      <c r="J89" s="5" t="s">
        <v>389</v>
      </c>
      <c r="K89" s="13" t="s">
        <v>388</v>
      </c>
    </row>
    <row r="90" spans="1:14">
      <c r="E90" s="5">
        <f t="shared" ca="1" si="2"/>
        <v>9.543892369107991E-2</v>
      </c>
      <c r="F90" s="13" t="s">
        <v>66</v>
      </c>
      <c r="G90" s="9" t="s">
        <v>360</v>
      </c>
      <c r="H90" s="13" t="s">
        <v>94</v>
      </c>
      <c r="I90" s="11" t="b">
        <f>IF(AND(J90=F90,K90=G90),TRUE, FALSE)</f>
        <v>1</v>
      </c>
      <c r="J90" s="5" t="s">
        <v>66</v>
      </c>
      <c r="K90" s="13" t="s">
        <v>360</v>
      </c>
    </row>
    <row r="91" spans="1:14">
      <c r="C91" s="13" t="s">
        <v>511</v>
      </c>
      <c r="E91" s="5">
        <f t="shared" ca="1" si="2"/>
        <v>7.3716086897589239E-2</v>
      </c>
      <c r="F91" s="13" t="s">
        <v>218</v>
      </c>
      <c r="H91" s="17" t="s">
        <v>219</v>
      </c>
      <c r="I91" s="11" t="b">
        <f>IF(AND(J91=F91,K91=G91,C91=N91),TRUE, FALSE)</f>
        <v>1</v>
      </c>
      <c r="J91" s="5" t="s">
        <v>218</v>
      </c>
      <c r="N91" s="5" t="s">
        <v>511</v>
      </c>
    </row>
    <row r="92" spans="1:14">
      <c r="E92" s="5">
        <f t="shared" ca="1" si="2"/>
        <v>2.0440724084270605E-2</v>
      </c>
      <c r="F92" s="13" t="s">
        <v>3</v>
      </c>
      <c r="G92" s="9" t="s">
        <v>360</v>
      </c>
      <c r="H92" s="13" t="s">
        <v>4</v>
      </c>
      <c r="I92" s="11" t="b">
        <f>IF(AND(J92=F92,K92=G92),TRUE, FALSE)</f>
        <v>1</v>
      </c>
      <c r="J92" s="5" t="s">
        <v>3</v>
      </c>
      <c r="K92" s="13" t="s">
        <v>360</v>
      </c>
    </row>
    <row r="93" spans="1:14">
      <c r="E93" s="5">
        <f t="shared" ca="1" si="2"/>
        <v>0.12615210752197989</v>
      </c>
      <c r="F93" s="14" t="s">
        <v>357</v>
      </c>
      <c r="G93" s="8" t="s">
        <v>388</v>
      </c>
      <c r="H93" s="14" t="s">
        <v>358</v>
      </c>
      <c r="I93" s="11" t="b">
        <f>IF(AND(J93=F93,K93=G93),TRUE, FALSE)</f>
        <v>1</v>
      </c>
      <c r="J93" s="5" t="s">
        <v>357</v>
      </c>
      <c r="K93" s="13" t="s">
        <v>388</v>
      </c>
    </row>
    <row r="94" spans="1:14">
      <c r="E94" s="5">
        <f t="shared" ca="1" si="2"/>
        <v>0.11990678711598876</v>
      </c>
      <c r="F94" s="13" t="s">
        <v>97</v>
      </c>
      <c r="G94" s="9" t="s">
        <v>360</v>
      </c>
      <c r="H94" s="13" t="s">
        <v>98</v>
      </c>
      <c r="I94" s="11" t="b">
        <f>IF(AND(J94=F94,K94=G94),TRUE, FALSE)</f>
        <v>1</v>
      </c>
      <c r="J94" s="5" t="s">
        <v>97</v>
      </c>
      <c r="K94" s="13" t="s">
        <v>360</v>
      </c>
    </row>
    <row r="95" spans="1:14">
      <c r="A95" s="13" t="s">
        <v>479</v>
      </c>
      <c r="E95" s="5">
        <f t="shared" ca="1" si="2"/>
        <v>7.5323752918067338E-2</v>
      </c>
      <c r="F95" s="13" t="s">
        <v>296</v>
      </c>
      <c r="H95" s="15" t="s">
        <v>297</v>
      </c>
      <c r="I95" s="11" t="b">
        <f>IF(AND(J95=F95,K95=G95,L95=A95),TRUE, FALSE)</f>
        <v>1</v>
      </c>
      <c r="J95" s="5" t="s">
        <v>296</v>
      </c>
      <c r="L95" s="5" t="s">
        <v>479</v>
      </c>
    </row>
    <row r="96" spans="1:14">
      <c r="E96" s="5">
        <f t="shared" ca="1" si="2"/>
        <v>0.10180652351582802</v>
      </c>
      <c r="F96" s="13" t="s">
        <v>16</v>
      </c>
      <c r="G96" s="9" t="s">
        <v>360</v>
      </c>
      <c r="H96" s="13" t="s">
        <v>17</v>
      </c>
      <c r="I96" s="11" t="b">
        <f t="shared" ref="I96:I103" si="4">IF(AND(J96=F96,K96=G96),TRUE, FALSE)</f>
        <v>1</v>
      </c>
      <c r="J96" s="5" t="s">
        <v>16</v>
      </c>
      <c r="K96" s="13" t="s">
        <v>360</v>
      </c>
    </row>
    <row r="97" spans="1:12">
      <c r="E97" s="5">
        <f t="shared" ref="E97:E128" ca="1" si="5">-(RAND()-1)/7</f>
        <v>4.9835065920895545E-2</v>
      </c>
      <c r="F97" s="13" t="s">
        <v>119</v>
      </c>
      <c r="G97" s="9" t="s">
        <v>360</v>
      </c>
      <c r="H97" s="13" t="s">
        <v>120</v>
      </c>
      <c r="I97" s="11" t="b">
        <f t="shared" si="4"/>
        <v>1</v>
      </c>
      <c r="J97" s="5" t="s">
        <v>119</v>
      </c>
      <c r="K97" s="13" t="s">
        <v>360</v>
      </c>
    </row>
    <row r="98" spans="1:12">
      <c r="E98" s="5">
        <f t="shared" ca="1" si="5"/>
        <v>8.2028678039493361E-2</v>
      </c>
      <c r="F98" s="14" t="s">
        <v>383</v>
      </c>
      <c r="G98" s="8" t="s">
        <v>388</v>
      </c>
      <c r="H98" s="14" t="s">
        <v>335</v>
      </c>
      <c r="I98" s="11" t="b">
        <f t="shared" si="4"/>
        <v>1</v>
      </c>
      <c r="J98" s="5" t="s">
        <v>383</v>
      </c>
      <c r="K98" s="13" t="s">
        <v>388</v>
      </c>
    </row>
    <row r="99" spans="1:12">
      <c r="E99" s="5">
        <f t="shared" ca="1" si="5"/>
        <v>8.1709256327326632E-2</v>
      </c>
      <c r="F99" s="13" t="s">
        <v>226</v>
      </c>
      <c r="G99" s="9" t="s">
        <v>360</v>
      </c>
      <c r="H99" s="13" t="s">
        <v>227</v>
      </c>
      <c r="I99" s="11" t="b">
        <f t="shared" si="4"/>
        <v>1</v>
      </c>
      <c r="J99" s="5" t="s">
        <v>226</v>
      </c>
      <c r="K99" s="13" t="s">
        <v>360</v>
      </c>
    </row>
    <row r="100" spans="1:12">
      <c r="E100" s="5">
        <f t="shared" ca="1" si="5"/>
        <v>4.3651301887398263E-2</v>
      </c>
      <c r="F100" s="14" t="s">
        <v>380</v>
      </c>
      <c r="G100" s="8" t="s">
        <v>388</v>
      </c>
      <c r="H100" s="14" t="s">
        <v>333</v>
      </c>
      <c r="I100" s="11" t="b">
        <f t="shared" si="4"/>
        <v>1</v>
      </c>
      <c r="J100" s="5" t="s">
        <v>380</v>
      </c>
      <c r="K100" s="13" t="s">
        <v>388</v>
      </c>
    </row>
    <row r="101" spans="1:12">
      <c r="E101" s="5">
        <f t="shared" ca="1" si="5"/>
        <v>2.6755703500745773E-2</v>
      </c>
      <c r="F101" s="13" t="s">
        <v>95</v>
      </c>
      <c r="G101" s="9" t="s">
        <v>360</v>
      </c>
      <c r="H101" s="13" t="s">
        <v>96</v>
      </c>
      <c r="I101" s="11" t="b">
        <f t="shared" si="4"/>
        <v>1</v>
      </c>
      <c r="J101" s="5" t="s">
        <v>95</v>
      </c>
      <c r="K101" s="13" t="s">
        <v>360</v>
      </c>
    </row>
    <row r="102" spans="1:12">
      <c r="E102" s="5">
        <f t="shared" ca="1" si="5"/>
        <v>6.7252171057302371E-2</v>
      </c>
      <c r="F102" s="13" t="s">
        <v>423</v>
      </c>
      <c r="G102" s="9" t="s">
        <v>388</v>
      </c>
      <c r="H102" s="13" t="s">
        <v>448</v>
      </c>
      <c r="I102" s="11" t="b">
        <f t="shared" si="4"/>
        <v>1</v>
      </c>
      <c r="J102" s="5" t="s">
        <v>423</v>
      </c>
      <c r="K102" s="13" t="s">
        <v>388</v>
      </c>
    </row>
    <row r="103" spans="1:12">
      <c r="E103" s="5">
        <f t="shared" ca="1" si="5"/>
        <v>5.9177875253153531E-2</v>
      </c>
      <c r="F103" s="13" t="s">
        <v>56</v>
      </c>
      <c r="G103" s="9" t="s">
        <v>360</v>
      </c>
      <c r="H103" s="13" t="s">
        <v>57</v>
      </c>
      <c r="I103" s="11" t="b">
        <f t="shared" si="4"/>
        <v>1</v>
      </c>
      <c r="J103" s="5" t="s">
        <v>56</v>
      </c>
      <c r="K103" s="13" t="s">
        <v>360</v>
      </c>
    </row>
    <row r="104" spans="1:12">
      <c r="A104" s="13" t="s">
        <v>484</v>
      </c>
      <c r="E104" s="5">
        <f t="shared" ca="1" si="5"/>
        <v>0.10545598929271045</v>
      </c>
      <c r="F104" s="13" t="s">
        <v>482</v>
      </c>
      <c r="H104" s="15" t="s">
        <v>483</v>
      </c>
      <c r="I104" s="11" t="b">
        <f>IF(AND(J104=F104,L104=A104),TRUE, FALSE)</f>
        <v>1</v>
      </c>
      <c r="J104" s="5" t="s">
        <v>482</v>
      </c>
      <c r="L104" s="5" t="s">
        <v>484</v>
      </c>
    </row>
    <row r="105" spans="1:12">
      <c r="E105" s="5">
        <f t="shared" ca="1" si="5"/>
        <v>1.5643907480448385E-2</v>
      </c>
      <c r="F105" s="14" t="s">
        <v>369</v>
      </c>
      <c r="G105" s="8"/>
      <c r="H105" s="14" t="s">
        <v>370</v>
      </c>
      <c r="I105" s="11" t="b">
        <f>IF(AND(J105=F105,K105=G105),TRUE, FALSE)</f>
        <v>1</v>
      </c>
      <c r="J105" s="5" t="s">
        <v>369</v>
      </c>
    </row>
    <row r="106" spans="1:12">
      <c r="E106" s="5">
        <f t="shared" ca="1" si="5"/>
        <v>6.4523384566638128E-2</v>
      </c>
      <c r="F106" s="13" t="s">
        <v>42</v>
      </c>
      <c r="G106" s="9" t="s">
        <v>360</v>
      </c>
      <c r="H106" s="13" t="s">
        <v>43</v>
      </c>
      <c r="I106" s="11" t="b">
        <f>IF(AND(J106=F106,K106=G106),TRUE, FALSE)</f>
        <v>1</v>
      </c>
      <c r="J106" s="5" t="s">
        <v>42</v>
      </c>
      <c r="K106" s="13" t="s">
        <v>360</v>
      </c>
    </row>
    <row r="107" spans="1:12">
      <c r="E107" s="5">
        <f t="shared" ca="1" si="5"/>
        <v>0.13476484610738818</v>
      </c>
      <c r="F107" s="14" t="s">
        <v>346</v>
      </c>
      <c r="G107" s="8" t="s">
        <v>388</v>
      </c>
      <c r="H107" s="14" t="s">
        <v>347</v>
      </c>
      <c r="I107" s="11" t="b">
        <f>IF(AND(J107=F107,K107=G107),TRUE, FALSE)</f>
        <v>1</v>
      </c>
      <c r="J107" s="5" t="s">
        <v>346</v>
      </c>
      <c r="K107" s="13" t="s">
        <v>388</v>
      </c>
    </row>
    <row r="108" spans="1:12">
      <c r="E108" s="5">
        <f t="shared" ca="1" si="5"/>
        <v>7.4087090359472335E-2</v>
      </c>
      <c r="F108" s="13" t="s">
        <v>189</v>
      </c>
      <c r="G108" s="9" t="s">
        <v>360</v>
      </c>
      <c r="H108" s="13" t="s">
        <v>190</v>
      </c>
      <c r="I108" s="11" t="b">
        <f>IF(AND(J108=F108,K108=G108),TRUE, FALSE)</f>
        <v>1</v>
      </c>
      <c r="J108" s="5" t="s">
        <v>189</v>
      </c>
      <c r="K108" s="13" t="s">
        <v>360</v>
      </c>
    </row>
    <row r="109" spans="1:12">
      <c r="E109" s="5">
        <f t="shared" ca="1" si="5"/>
        <v>2.2179308292808547E-2</v>
      </c>
      <c r="F109" s="13" t="s">
        <v>160</v>
      </c>
      <c r="H109" s="13" t="s">
        <v>161</v>
      </c>
      <c r="I109" s="11" t="b">
        <f>IF(AND(J109=F109,K109=G109),TRUE, FALSE)</f>
        <v>1</v>
      </c>
      <c r="J109" s="5" t="s">
        <v>160</v>
      </c>
    </row>
    <row r="110" spans="1:12">
      <c r="A110" s="13" t="s">
        <v>477</v>
      </c>
      <c r="E110" s="5">
        <f t="shared" ca="1" si="5"/>
        <v>0.10051246698520976</v>
      </c>
      <c r="F110" s="14" t="s">
        <v>377</v>
      </c>
      <c r="G110" s="8"/>
      <c r="H110" s="16" t="s">
        <v>399</v>
      </c>
      <c r="I110" s="11" t="b">
        <f>IF(AND(J110=F110,K110=G110,L110=A110),TRUE, FALSE)</f>
        <v>1</v>
      </c>
      <c r="J110" s="5" t="s">
        <v>377</v>
      </c>
      <c r="L110" s="5" t="s">
        <v>477</v>
      </c>
    </row>
    <row r="111" spans="1:12">
      <c r="E111" s="5">
        <f t="shared" ca="1" si="5"/>
        <v>7.9252163272731282E-2</v>
      </c>
      <c r="F111" s="14" t="s">
        <v>365</v>
      </c>
      <c r="G111" s="8"/>
      <c r="H111" s="14" t="s">
        <v>393</v>
      </c>
      <c r="I111" s="11" t="b">
        <f>IF(AND(J111=F111,K111=G111),TRUE, FALSE)</f>
        <v>1</v>
      </c>
      <c r="J111" s="5" t="s">
        <v>365</v>
      </c>
    </row>
    <row r="112" spans="1:12">
      <c r="E112" s="5">
        <f t="shared" ca="1" si="5"/>
        <v>5.1686834742687808E-2</v>
      </c>
      <c r="F112" s="13" t="s">
        <v>222</v>
      </c>
      <c r="G112" s="9" t="s">
        <v>360</v>
      </c>
      <c r="H112" s="13" t="s">
        <v>195</v>
      </c>
      <c r="I112" s="11" t="b">
        <f>IF(AND(J112=F112,K112=G112),TRUE, FALSE)</f>
        <v>1</v>
      </c>
      <c r="J112" s="5" t="s">
        <v>222</v>
      </c>
      <c r="K112" s="13" t="s">
        <v>360</v>
      </c>
    </row>
    <row r="113" spans="1:14">
      <c r="E113" s="5">
        <f t="shared" ca="1" si="5"/>
        <v>0.12083908378207005</v>
      </c>
      <c r="F113" s="13" t="s">
        <v>183</v>
      </c>
      <c r="G113" s="9" t="s">
        <v>360</v>
      </c>
      <c r="H113" s="13" t="s">
        <v>184</v>
      </c>
      <c r="I113" s="11" t="b">
        <f>IF(AND(J113=F113,K113=G113),TRUE, FALSE)</f>
        <v>1</v>
      </c>
      <c r="J113" s="5" t="s">
        <v>183</v>
      </c>
      <c r="K113" s="13" t="s">
        <v>360</v>
      </c>
    </row>
    <row r="114" spans="1:14">
      <c r="A114" s="13" t="s">
        <v>468</v>
      </c>
      <c r="E114" s="5">
        <f t="shared" ca="1" si="5"/>
        <v>7.1602193776622206E-2</v>
      </c>
      <c r="F114" s="13" t="s">
        <v>165</v>
      </c>
      <c r="H114" s="15" t="s">
        <v>166</v>
      </c>
      <c r="I114" s="11" t="b">
        <f>IF(AND(J114=F114,K114=G114,L114=A114),TRUE, FALSE)</f>
        <v>1</v>
      </c>
      <c r="J114" s="5" t="s">
        <v>165</v>
      </c>
      <c r="L114" s="5" t="s">
        <v>468</v>
      </c>
    </row>
    <row r="115" spans="1:14">
      <c r="A115" s="13" t="s">
        <v>465</v>
      </c>
      <c r="C115" s="13" t="s">
        <v>492</v>
      </c>
      <c r="E115" s="5">
        <f t="shared" ca="1" si="5"/>
        <v>0.13165350697698952</v>
      </c>
      <c r="F115" s="13" t="s">
        <v>34</v>
      </c>
      <c r="H115" s="18" t="s">
        <v>35</v>
      </c>
      <c r="I115" s="11" t="b">
        <f>IF(AND(J115=F115,K115=G115,L115=A115,N115=C115),TRUE, FALSE)</f>
        <v>1</v>
      </c>
      <c r="J115" s="5" t="s">
        <v>34</v>
      </c>
      <c r="L115" s="5" t="s">
        <v>465</v>
      </c>
      <c r="N115" s="5" t="s">
        <v>492</v>
      </c>
    </row>
    <row r="116" spans="1:14">
      <c r="E116" s="5">
        <f t="shared" ca="1" si="5"/>
        <v>3.7514780125619075E-2</v>
      </c>
      <c r="F116" s="14" t="s">
        <v>356</v>
      </c>
      <c r="G116" s="8" t="s">
        <v>388</v>
      </c>
      <c r="H116" s="14" t="s">
        <v>392</v>
      </c>
      <c r="I116" s="11" t="b">
        <f>IF(AND(J116=F116,K116=G116),TRUE, FALSE)</f>
        <v>1</v>
      </c>
      <c r="J116" s="5" t="s">
        <v>356</v>
      </c>
      <c r="K116" s="13" t="s">
        <v>388</v>
      </c>
    </row>
    <row r="117" spans="1:14">
      <c r="E117" s="5">
        <f t="shared" ca="1" si="5"/>
        <v>9.4576436097498929E-3</v>
      </c>
      <c r="F117" s="13" t="s">
        <v>123</v>
      </c>
      <c r="G117" s="9" t="s">
        <v>360</v>
      </c>
      <c r="H117" s="13" t="s">
        <v>124</v>
      </c>
      <c r="I117" s="11" t="b">
        <f>IF(AND(J117=F117,K117=G117),TRUE, FALSE)</f>
        <v>1</v>
      </c>
      <c r="J117" s="5" t="s">
        <v>123</v>
      </c>
      <c r="K117" s="13" t="s">
        <v>360</v>
      </c>
    </row>
    <row r="118" spans="1:14">
      <c r="E118" s="5">
        <f t="shared" ca="1" si="5"/>
        <v>5.5472732455791714E-2</v>
      </c>
      <c r="F118" s="13" t="s">
        <v>262</v>
      </c>
      <c r="G118" s="9" t="s">
        <v>360</v>
      </c>
      <c r="H118" s="13" t="s">
        <v>263</v>
      </c>
      <c r="I118" s="11" t="b">
        <f>IF(AND(J118=F118,K118=G118),TRUE, FALSE)</f>
        <v>1</v>
      </c>
      <c r="J118" s="5" t="s">
        <v>262</v>
      </c>
      <c r="K118" s="13" t="s">
        <v>360</v>
      </c>
    </row>
    <row r="119" spans="1:14">
      <c r="E119" s="5">
        <f t="shared" ca="1" si="5"/>
        <v>0.12121516943081459</v>
      </c>
      <c r="F119" s="13" t="s">
        <v>187</v>
      </c>
      <c r="G119" s="9" t="s">
        <v>360</v>
      </c>
      <c r="H119" s="13" t="s">
        <v>188</v>
      </c>
      <c r="I119" s="11" t="b">
        <f>IF(AND(J119=F119,K119=G119),TRUE, FALSE)</f>
        <v>1</v>
      </c>
      <c r="J119" s="5" t="s">
        <v>187</v>
      </c>
      <c r="K119" s="13" t="s">
        <v>360</v>
      </c>
    </row>
    <row r="120" spans="1:14">
      <c r="A120" s="13" t="s">
        <v>445</v>
      </c>
      <c r="E120" s="5">
        <f t="shared" ca="1" si="5"/>
        <v>4.7750305472948992E-2</v>
      </c>
      <c r="F120" s="13" t="s">
        <v>78</v>
      </c>
      <c r="H120" s="15" t="s">
        <v>79</v>
      </c>
      <c r="I120" s="11" t="b">
        <f>IF(AND(J120=F120,K120=G120,L120=A120),TRUE, FALSE)</f>
        <v>1</v>
      </c>
      <c r="J120" s="5" t="s">
        <v>78</v>
      </c>
      <c r="L120" s="5" t="s">
        <v>445</v>
      </c>
    </row>
    <row r="121" spans="1:14">
      <c r="E121" s="5">
        <f t="shared" ca="1" si="5"/>
        <v>1.284414549468579E-2</v>
      </c>
      <c r="F121" s="13" t="s">
        <v>283</v>
      </c>
      <c r="H121" s="13" t="s">
        <v>284</v>
      </c>
      <c r="I121" s="11" t="b">
        <f>IF(AND(J121=F121,K121=G121),TRUE, FALSE)</f>
        <v>1</v>
      </c>
      <c r="J121" s="5" t="s">
        <v>283</v>
      </c>
    </row>
    <row r="122" spans="1:14">
      <c r="E122" s="5">
        <f t="shared" ca="1" si="5"/>
        <v>0.133461293879759</v>
      </c>
      <c r="F122" s="13" t="s">
        <v>146</v>
      </c>
      <c r="G122" s="9" t="s">
        <v>360</v>
      </c>
      <c r="H122" s="13" t="s">
        <v>175</v>
      </c>
      <c r="I122" s="11" t="b">
        <f>IF(AND(J122=F122,K122=G122),TRUE, FALSE)</f>
        <v>1</v>
      </c>
      <c r="J122" s="5" t="s">
        <v>146</v>
      </c>
      <c r="K122" s="13" t="s">
        <v>360</v>
      </c>
    </row>
    <row r="123" spans="1:14">
      <c r="E123" s="5">
        <f t="shared" ca="1" si="5"/>
        <v>9.4725049524369845E-2</v>
      </c>
      <c r="F123" s="14" t="s">
        <v>382</v>
      </c>
      <c r="G123" s="8" t="s">
        <v>388</v>
      </c>
      <c r="H123" s="14" t="s">
        <v>334</v>
      </c>
      <c r="I123" s="11" t="b">
        <f>IF(AND(J123=F123,K123=G123),TRUE, FALSE)</f>
        <v>1</v>
      </c>
      <c r="J123" s="5" t="s">
        <v>382</v>
      </c>
      <c r="K123" s="13" t="s">
        <v>388</v>
      </c>
    </row>
    <row r="124" spans="1:14">
      <c r="E124" s="5">
        <f t="shared" ca="1" si="5"/>
        <v>4.4149109848253092E-2</v>
      </c>
      <c r="F124" s="13" t="s">
        <v>196</v>
      </c>
      <c r="G124" s="9" t="s">
        <v>360</v>
      </c>
      <c r="H124" s="13" t="s">
        <v>197</v>
      </c>
      <c r="I124" s="11" t="b">
        <f>IF(AND(J124=F124,K124=G124),TRUE, FALSE)</f>
        <v>1</v>
      </c>
      <c r="J124" s="5" t="s">
        <v>196</v>
      </c>
      <c r="K124" s="13" t="s">
        <v>360</v>
      </c>
    </row>
    <row r="125" spans="1:14">
      <c r="A125" s="13" t="s">
        <v>438</v>
      </c>
      <c r="B125" s="13" t="s">
        <v>439</v>
      </c>
      <c r="E125" s="5">
        <f t="shared" ca="1" si="5"/>
        <v>8.2314601230983026E-2</v>
      </c>
      <c r="F125" s="15" t="s">
        <v>220</v>
      </c>
      <c r="G125" s="12"/>
      <c r="H125" s="15" t="s">
        <v>221</v>
      </c>
      <c r="I125" s="11" t="b">
        <f>IF(AND(J125=F125,K125=G125,L125=A125,M125=B125),TRUE, FALSE)</f>
        <v>1</v>
      </c>
      <c r="J125" s="5" t="s">
        <v>220</v>
      </c>
      <c r="L125" s="5" t="s">
        <v>438</v>
      </c>
      <c r="M125" s="5" t="s">
        <v>439</v>
      </c>
    </row>
    <row r="126" spans="1:14">
      <c r="E126" s="5">
        <f t="shared" ca="1" si="5"/>
        <v>1.4510067267413076E-2</v>
      </c>
      <c r="F126" s="13" t="s">
        <v>306</v>
      </c>
      <c r="G126" s="9" t="s">
        <v>360</v>
      </c>
      <c r="H126" s="13" t="s">
        <v>261</v>
      </c>
      <c r="I126" s="11" t="b">
        <f>IF(AND(J126=F126,K126=G126),TRUE, FALSE)</f>
        <v>1</v>
      </c>
      <c r="J126" s="5" t="s">
        <v>306</v>
      </c>
      <c r="K126" s="13" t="s">
        <v>360</v>
      </c>
    </row>
    <row r="127" spans="1:14">
      <c r="E127" s="5">
        <f t="shared" ca="1" si="5"/>
        <v>0.13512273970849295</v>
      </c>
      <c r="F127" s="13" t="s">
        <v>131</v>
      </c>
      <c r="G127" s="9" t="s">
        <v>360</v>
      </c>
      <c r="H127" s="13" t="s">
        <v>132</v>
      </c>
      <c r="I127" s="11" t="b">
        <f>IF(AND(J127=F127,K127=G127),TRUE, FALSE)</f>
        <v>1</v>
      </c>
      <c r="J127" s="5" t="s">
        <v>131</v>
      </c>
      <c r="K127" s="13" t="s">
        <v>360</v>
      </c>
    </row>
    <row r="128" spans="1:14">
      <c r="E128" s="5">
        <f t="shared" ca="1" si="5"/>
        <v>7.984709016699619E-2</v>
      </c>
      <c r="F128" s="13" t="s">
        <v>204</v>
      </c>
      <c r="H128" s="13" t="s">
        <v>205</v>
      </c>
      <c r="I128" s="11" t="b">
        <f>IF(AND(J128=F128,K128=G128),TRUE, FALSE)</f>
        <v>1</v>
      </c>
      <c r="J128" s="5" t="s">
        <v>204</v>
      </c>
    </row>
    <row r="129" spans="1:14">
      <c r="A129" s="13" t="s">
        <v>442</v>
      </c>
      <c r="B129" s="13" t="s">
        <v>443</v>
      </c>
      <c r="E129" s="5">
        <f t="shared" ref="E129:E160" ca="1" si="6">-(RAND()-1)/7</f>
        <v>0.1076605020556357</v>
      </c>
      <c r="F129" s="14" t="s">
        <v>366</v>
      </c>
      <c r="G129" s="8"/>
      <c r="H129" s="16" t="s">
        <v>394</v>
      </c>
      <c r="I129" s="11" t="b">
        <f>IF(AND(J129=F129,K129=G129,L129=A129,M129=B129),TRUE, FALSE)</f>
        <v>1</v>
      </c>
      <c r="J129" s="5" t="s">
        <v>366</v>
      </c>
      <c r="L129" s="5" t="s">
        <v>442</v>
      </c>
      <c r="M129" s="5" t="s">
        <v>443</v>
      </c>
    </row>
    <row r="130" spans="1:14">
      <c r="E130" s="5">
        <f t="shared" ca="1" si="6"/>
        <v>5.9063532418424027E-2</v>
      </c>
      <c r="F130" s="14" t="s">
        <v>379</v>
      </c>
      <c r="G130" s="8" t="s">
        <v>388</v>
      </c>
      <c r="H130" s="14" t="s">
        <v>333</v>
      </c>
      <c r="I130" s="11" t="b">
        <f t="shared" ref="I130:I136" si="7">IF(AND(J130=F130,K130=G130),TRUE, FALSE)</f>
        <v>1</v>
      </c>
      <c r="J130" s="5" t="s">
        <v>379</v>
      </c>
      <c r="K130" s="13" t="s">
        <v>388</v>
      </c>
    </row>
    <row r="131" spans="1:14">
      <c r="E131" s="5">
        <f t="shared" ca="1" si="6"/>
        <v>6.1548610136474675E-2</v>
      </c>
      <c r="F131" s="14" t="s">
        <v>359</v>
      </c>
      <c r="G131" s="8" t="s">
        <v>388</v>
      </c>
      <c r="H131" s="14" t="s">
        <v>398</v>
      </c>
      <c r="I131" s="11" t="b">
        <f t="shared" si="7"/>
        <v>1</v>
      </c>
      <c r="J131" s="5" t="s">
        <v>359</v>
      </c>
      <c r="K131" s="13" t="s">
        <v>388</v>
      </c>
    </row>
    <row r="132" spans="1:14">
      <c r="E132" s="5">
        <f t="shared" ca="1" si="6"/>
        <v>0.12903004757138647</v>
      </c>
      <c r="F132" s="13" t="s">
        <v>58</v>
      </c>
      <c r="G132" s="9" t="s">
        <v>360</v>
      </c>
      <c r="H132" s="13" t="s">
        <v>59</v>
      </c>
      <c r="I132" s="11" t="b">
        <f t="shared" si="7"/>
        <v>1</v>
      </c>
      <c r="J132" s="5" t="s">
        <v>58</v>
      </c>
      <c r="K132" s="13" t="s">
        <v>360</v>
      </c>
    </row>
    <row r="133" spans="1:14">
      <c r="E133" s="5">
        <f t="shared" ca="1" si="6"/>
        <v>0.11548518302516485</v>
      </c>
      <c r="F133" s="13" t="s">
        <v>135</v>
      </c>
      <c r="G133" s="9" t="s">
        <v>360</v>
      </c>
      <c r="H133" s="13" t="s">
        <v>136</v>
      </c>
      <c r="I133" s="11" t="b">
        <f t="shared" si="7"/>
        <v>1</v>
      </c>
      <c r="J133" s="5" t="s">
        <v>135</v>
      </c>
      <c r="K133" s="13" t="s">
        <v>360</v>
      </c>
    </row>
    <row r="134" spans="1:14">
      <c r="E134" s="5">
        <f t="shared" ca="1" si="6"/>
        <v>3.6409730010732604E-2</v>
      </c>
      <c r="F134" s="14" t="s">
        <v>385</v>
      </c>
      <c r="G134" s="8" t="s">
        <v>388</v>
      </c>
      <c r="H134" s="14" t="s">
        <v>336</v>
      </c>
      <c r="I134" s="11" t="b">
        <f t="shared" si="7"/>
        <v>1</v>
      </c>
      <c r="J134" s="5" t="s">
        <v>385</v>
      </c>
      <c r="K134" s="13" t="s">
        <v>388</v>
      </c>
    </row>
    <row r="135" spans="1:14">
      <c r="E135" s="5">
        <f t="shared" ca="1" si="6"/>
        <v>8.0685309231867633E-2</v>
      </c>
      <c r="F135" s="14" t="s">
        <v>337</v>
      </c>
      <c r="G135" s="8" t="s">
        <v>388</v>
      </c>
      <c r="H135" s="14" t="s">
        <v>390</v>
      </c>
      <c r="I135" s="11" t="b">
        <f t="shared" si="7"/>
        <v>1</v>
      </c>
      <c r="J135" s="5" t="s">
        <v>337</v>
      </c>
      <c r="K135" s="13" t="s">
        <v>388</v>
      </c>
    </row>
    <row r="136" spans="1:14">
      <c r="E136" s="5">
        <f t="shared" ca="1" si="6"/>
        <v>1.7048077730218453E-2</v>
      </c>
      <c r="F136" s="13" t="s">
        <v>64</v>
      </c>
      <c r="G136" s="9" t="s">
        <v>360</v>
      </c>
      <c r="H136" s="13" t="s">
        <v>65</v>
      </c>
      <c r="I136" s="11" t="b">
        <f t="shared" si="7"/>
        <v>1</v>
      </c>
      <c r="J136" s="5" t="s">
        <v>64</v>
      </c>
      <c r="K136" s="13" t="s">
        <v>360</v>
      </c>
    </row>
    <row r="137" spans="1:14">
      <c r="A137" s="13" t="s">
        <v>446</v>
      </c>
      <c r="E137" s="5">
        <f t="shared" ca="1" si="6"/>
        <v>7.6508597316795379E-2</v>
      </c>
      <c r="F137" s="13" t="s">
        <v>212</v>
      </c>
      <c r="H137" s="15" t="s">
        <v>213</v>
      </c>
      <c r="I137" s="11" t="b">
        <f>IF(AND(J137=F137,K137=G137,L137=A137),TRUE, FALSE)</f>
        <v>1</v>
      </c>
      <c r="J137" s="5" t="s">
        <v>212</v>
      </c>
      <c r="L137" s="5" t="s">
        <v>446</v>
      </c>
    </row>
    <row r="138" spans="1:14">
      <c r="E138" s="5">
        <f t="shared" ca="1" si="6"/>
        <v>4.1656351651080933E-2</v>
      </c>
      <c r="F138" s="13" t="s">
        <v>193</v>
      </c>
      <c r="G138" s="9" t="s">
        <v>360</v>
      </c>
      <c r="H138" s="13" t="s">
        <v>194</v>
      </c>
      <c r="I138" s="11" t="b">
        <f>IF(AND(J138=F138,K138=G138),TRUE, FALSE)</f>
        <v>1</v>
      </c>
      <c r="J138" s="5" t="s">
        <v>193</v>
      </c>
      <c r="K138" s="13" t="s">
        <v>360</v>
      </c>
    </row>
    <row r="139" spans="1:14">
      <c r="E139" s="5">
        <f t="shared" ca="1" si="6"/>
        <v>0.10079534902025615</v>
      </c>
      <c r="F139" s="14" t="s">
        <v>361</v>
      </c>
      <c r="G139" s="8"/>
      <c r="H139" s="14" t="s">
        <v>362</v>
      </c>
      <c r="I139" s="11" t="b">
        <f>IF(AND(J139=F139,K139=G139),TRUE, FALSE)</f>
        <v>1</v>
      </c>
      <c r="J139" s="5" t="s">
        <v>361</v>
      </c>
    </row>
    <row r="140" spans="1:14">
      <c r="E140" s="5">
        <f t="shared" ca="1" si="6"/>
        <v>3.6442577186613048E-2</v>
      </c>
      <c r="F140" s="13" t="s">
        <v>105</v>
      </c>
      <c r="G140" s="9" t="s">
        <v>360</v>
      </c>
      <c r="H140" s="13" t="s">
        <v>129</v>
      </c>
      <c r="I140" s="11" t="b">
        <f>IF(AND(J140=F140,K140=G140),TRUE, FALSE)</f>
        <v>1</v>
      </c>
      <c r="J140" s="5" t="s">
        <v>105</v>
      </c>
      <c r="K140" s="13" t="s">
        <v>360</v>
      </c>
    </row>
    <row r="141" spans="1:14">
      <c r="E141" s="5">
        <f t="shared" ca="1" si="6"/>
        <v>1.230897592010676E-2</v>
      </c>
      <c r="F141" s="13" t="s">
        <v>103</v>
      </c>
      <c r="G141" s="9" t="s">
        <v>360</v>
      </c>
      <c r="H141" s="13" t="s">
        <v>104</v>
      </c>
      <c r="I141" s="11" t="b">
        <f>IF(AND(J141=F141,K141=G141),TRUE, FALSE)</f>
        <v>1</v>
      </c>
      <c r="J141" s="5" t="s">
        <v>103</v>
      </c>
      <c r="K141" s="13" t="s">
        <v>360</v>
      </c>
    </row>
    <row r="142" spans="1:14">
      <c r="C142" s="13" t="s">
        <v>502</v>
      </c>
      <c r="E142" s="5">
        <f t="shared" ca="1" si="6"/>
        <v>7.4348216944433498E-2</v>
      </c>
      <c r="F142" s="13" t="s">
        <v>84</v>
      </c>
      <c r="H142" s="17" t="s">
        <v>85</v>
      </c>
      <c r="I142" s="11" t="b">
        <f>IF(AND(J142=F142,K142=G142,C142=N142),TRUE, FALSE)</f>
        <v>1</v>
      </c>
      <c r="J142" s="5" t="s">
        <v>84</v>
      </c>
      <c r="N142" s="5" t="s">
        <v>502</v>
      </c>
    </row>
    <row r="143" spans="1:14">
      <c r="E143" s="5">
        <f t="shared" ca="1" si="6"/>
        <v>2.0027115560765134E-2</v>
      </c>
      <c r="F143" s="13" t="s">
        <v>279</v>
      </c>
      <c r="G143" s="9" t="s">
        <v>360</v>
      </c>
      <c r="H143" s="13" t="s">
        <v>280</v>
      </c>
      <c r="I143" s="11" t="b">
        <f>IF(AND(J143=F143,K143=G143),TRUE, FALSE)</f>
        <v>1</v>
      </c>
      <c r="J143" s="5" t="s">
        <v>279</v>
      </c>
      <c r="K143" s="13" t="s">
        <v>360</v>
      </c>
    </row>
    <row r="144" spans="1:14">
      <c r="E144" s="5">
        <f t="shared" ca="1" si="6"/>
        <v>2.5400787646061795E-2</v>
      </c>
      <c r="F144" s="13" t="s">
        <v>264</v>
      </c>
      <c r="G144" s="9" t="s">
        <v>360</v>
      </c>
      <c r="H144" s="13" t="s">
        <v>265</v>
      </c>
      <c r="I144" s="11" t="b">
        <f>IF(AND(J144=F144,K144=G144),TRUE, FALSE)</f>
        <v>1</v>
      </c>
      <c r="J144" s="5" t="s">
        <v>264</v>
      </c>
      <c r="K144" s="13" t="s">
        <v>360</v>
      </c>
    </row>
    <row r="145" spans="1:14">
      <c r="E145" s="5">
        <f t="shared" ca="1" si="6"/>
        <v>6.1344775548492061E-2</v>
      </c>
      <c r="F145" s="13" t="s">
        <v>74</v>
      </c>
      <c r="H145" s="13" t="s">
        <v>75</v>
      </c>
      <c r="I145" s="11" t="b">
        <f>IF(AND(J145=F145,K145=G145),TRUE, FALSE)</f>
        <v>1</v>
      </c>
      <c r="J145" s="5" t="s">
        <v>74</v>
      </c>
    </row>
    <row r="146" spans="1:14">
      <c r="A146" s="13" t="s">
        <v>478</v>
      </c>
      <c r="E146" s="5">
        <f t="shared" ca="1" si="6"/>
        <v>0.10795326986311245</v>
      </c>
      <c r="F146" s="14" t="s">
        <v>376</v>
      </c>
      <c r="G146" s="8"/>
      <c r="H146" s="16" t="s">
        <v>397</v>
      </c>
      <c r="I146" s="11" t="b">
        <f>IF(AND(J146=F146,K146=G146,L146=A146),TRUE, FALSE)</f>
        <v>1</v>
      </c>
      <c r="J146" s="5" t="s">
        <v>376</v>
      </c>
      <c r="L146" s="5" t="s">
        <v>478</v>
      </c>
    </row>
    <row r="147" spans="1:14">
      <c r="E147" s="5">
        <f t="shared" ca="1" si="6"/>
        <v>0.1183285386574169</v>
      </c>
      <c r="F147" s="13" t="s">
        <v>38</v>
      </c>
      <c r="H147" s="13" t="s">
        <v>39</v>
      </c>
      <c r="I147" s="11" t="b">
        <f>IF(AND(J147=F147,K147=G147),TRUE, FALSE)</f>
        <v>1</v>
      </c>
      <c r="J147" s="5" t="s">
        <v>38</v>
      </c>
    </row>
    <row r="148" spans="1:14">
      <c r="A148" s="13" t="s">
        <v>481</v>
      </c>
      <c r="C148" s="13" t="s">
        <v>491</v>
      </c>
      <c r="E148" s="5">
        <f t="shared" ca="1" si="6"/>
        <v>0.13824907719739504</v>
      </c>
      <c r="F148" s="13" t="s">
        <v>167</v>
      </c>
      <c r="H148" s="18" t="s">
        <v>415</v>
      </c>
      <c r="I148" s="11" t="b">
        <f>IF(AND(J148=F148,K148=G148,L148=A148,N148=C148),TRUE, FALSE)</f>
        <v>1</v>
      </c>
      <c r="J148" s="5" t="s">
        <v>167</v>
      </c>
      <c r="L148" s="5" t="s">
        <v>481</v>
      </c>
      <c r="N148" s="5" t="s">
        <v>491</v>
      </c>
    </row>
    <row r="149" spans="1:14">
      <c r="E149" s="5">
        <f t="shared" ca="1" si="6"/>
        <v>0.14150081162968098</v>
      </c>
      <c r="F149" s="13" t="s">
        <v>143</v>
      </c>
      <c r="G149" s="9" t="s">
        <v>360</v>
      </c>
      <c r="H149" s="13" t="s">
        <v>144</v>
      </c>
      <c r="I149" s="11" t="b">
        <f>IF(AND(J149=F149,K149=G149),TRUE, FALSE)</f>
        <v>1</v>
      </c>
      <c r="J149" s="5" t="s">
        <v>143</v>
      </c>
      <c r="K149" s="13" t="s">
        <v>360</v>
      </c>
    </row>
    <row r="150" spans="1:14">
      <c r="A150" s="13" t="s">
        <v>467</v>
      </c>
      <c r="C150" s="13" t="s">
        <v>499</v>
      </c>
      <c r="E150" s="5">
        <f t="shared" ca="1" si="6"/>
        <v>6.8336835342461032E-3</v>
      </c>
      <c r="F150" s="13" t="s">
        <v>214</v>
      </c>
      <c r="H150" s="18" t="s">
        <v>215</v>
      </c>
      <c r="I150" s="11" t="b">
        <f>IF(AND(J150=F150,K150=G150,L150=A150,C150=N150),TRUE, FALSE)</f>
        <v>1</v>
      </c>
      <c r="J150" s="5" t="s">
        <v>214</v>
      </c>
      <c r="L150" s="5" t="s">
        <v>467</v>
      </c>
      <c r="N150" s="5" t="s">
        <v>499</v>
      </c>
    </row>
    <row r="151" spans="1:14">
      <c r="E151" s="5">
        <f t="shared" ca="1" si="6"/>
        <v>8.9170478263195883E-3</v>
      </c>
      <c r="F151" s="13" t="s">
        <v>270</v>
      </c>
      <c r="G151" s="9" t="s">
        <v>360</v>
      </c>
      <c r="H151" s="13" t="s">
        <v>271</v>
      </c>
      <c r="I151" s="11" t="b">
        <f>IF(AND(J151=F151,K151=G151),TRUE, FALSE)</f>
        <v>1</v>
      </c>
      <c r="J151" s="5" t="s">
        <v>270</v>
      </c>
      <c r="K151" s="13" t="s">
        <v>360</v>
      </c>
    </row>
    <row r="152" spans="1:14">
      <c r="A152" s="13" t="s">
        <v>471</v>
      </c>
      <c r="E152" s="5">
        <f t="shared" ca="1" si="6"/>
        <v>2.8067996699733207E-2</v>
      </c>
      <c r="F152" s="13" t="s">
        <v>287</v>
      </c>
      <c r="H152" s="15" t="s">
        <v>288</v>
      </c>
      <c r="I152" s="11" t="b">
        <f>IF(AND(J152=F152,K152=G152,L152=A152),TRUE, FALSE)</f>
        <v>1</v>
      </c>
      <c r="J152" s="5" t="s">
        <v>287</v>
      </c>
      <c r="L152" s="5" t="s">
        <v>471</v>
      </c>
    </row>
    <row r="153" spans="1:14">
      <c r="E153" s="5">
        <f t="shared" ca="1" si="6"/>
        <v>8.113760726707199E-2</v>
      </c>
      <c r="F153" s="13" t="s">
        <v>73</v>
      </c>
      <c r="G153" s="9" t="s">
        <v>360</v>
      </c>
      <c r="H153" s="13" t="s">
        <v>2</v>
      </c>
      <c r="I153" s="11" t="b">
        <f>IF(AND(J153=F153,K153=G153),TRUE, FALSE)</f>
        <v>1</v>
      </c>
      <c r="J153" s="5" t="s">
        <v>73</v>
      </c>
      <c r="K153" s="13" t="s">
        <v>360</v>
      </c>
    </row>
    <row r="154" spans="1:14">
      <c r="E154" s="5">
        <f t="shared" ca="1" si="6"/>
        <v>2.4952428421993331E-2</v>
      </c>
      <c r="F154" s="14" t="s">
        <v>400</v>
      </c>
      <c r="G154" s="8"/>
      <c r="H154" s="14" t="s">
        <v>378</v>
      </c>
      <c r="I154" s="11" t="b">
        <f>IF(AND(J154=F154,K154=G154),TRUE, FALSE)</f>
        <v>1</v>
      </c>
      <c r="J154" s="5" t="s">
        <v>400</v>
      </c>
    </row>
    <row r="155" spans="1:14">
      <c r="E155" s="5">
        <f t="shared" ca="1" si="6"/>
        <v>0.1141504713837596</v>
      </c>
      <c r="F155" s="13" t="s">
        <v>223</v>
      </c>
      <c r="G155" s="9" t="s">
        <v>360</v>
      </c>
      <c r="H155" s="13" t="s">
        <v>195</v>
      </c>
      <c r="I155" s="11" t="b">
        <f>IF(AND(J155=F155,K155=G155),TRUE, FALSE)</f>
        <v>1</v>
      </c>
      <c r="J155" s="5" t="s">
        <v>223</v>
      </c>
      <c r="K155" s="13" t="s">
        <v>360</v>
      </c>
    </row>
    <row r="156" spans="1:14">
      <c r="E156" s="5">
        <f t="shared" ca="1" si="6"/>
        <v>8.103679394720556E-2</v>
      </c>
      <c r="F156" s="13" t="s">
        <v>54</v>
      </c>
      <c r="G156" s="9" t="s">
        <v>360</v>
      </c>
      <c r="H156" s="13" t="s">
        <v>53</v>
      </c>
      <c r="I156" s="11" t="b">
        <f>IF(AND(J156=F156,K156=G156),TRUE, FALSE)</f>
        <v>1</v>
      </c>
      <c r="J156" s="5" t="s">
        <v>54</v>
      </c>
      <c r="K156" s="13" t="s">
        <v>360</v>
      </c>
    </row>
    <row r="157" spans="1:14">
      <c r="A157" s="13" t="s">
        <v>466</v>
      </c>
      <c r="E157" s="5">
        <f t="shared" ca="1" si="6"/>
        <v>0.13213507802339144</v>
      </c>
      <c r="F157" s="14" t="s">
        <v>373</v>
      </c>
      <c r="G157" s="8"/>
      <c r="H157" s="16" t="s">
        <v>374</v>
      </c>
      <c r="I157" s="11" t="b">
        <f>IF(AND(J157=F157,K157=G157,L157=A157),TRUE, FALSE)</f>
        <v>1</v>
      </c>
      <c r="J157" s="5" t="s">
        <v>373</v>
      </c>
      <c r="L157" s="5" t="s">
        <v>466</v>
      </c>
    </row>
    <row r="158" spans="1:14">
      <c r="A158" s="13" t="s">
        <v>436</v>
      </c>
      <c r="B158" s="13" t="s">
        <v>437</v>
      </c>
      <c r="E158" s="5">
        <f t="shared" ca="1" si="6"/>
        <v>9.4823611336859084E-2</v>
      </c>
      <c r="F158" s="13" t="s">
        <v>172</v>
      </c>
      <c r="H158" s="15" t="s">
        <v>173</v>
      </c>
      <c r="I158" s="11" t="b">
        <f>IF(AND(J158=F158,K158=G158,L158=A158,M158=B158),TRUE, FALSE)</f>
        <v>1</v>
      </c>
      <c r="J158" s="5" t="s">
        <v>172</v>
      </c>
      <c r="L158" s="5" t="s">
        <v>436</v>
      </c>
      <c r="M158" s="5" t="s">
        <v>437</v>
      </c>
    </row>
    <row r="159" spans="1:14">
      <c r="E159" s="5">
        <f t="shared" ca="1" si="6"/>
        <v>4.1656595733813827E-2</v>
      </c>
      <c r="F159" s="13" t="s">
        <v>107</v>
      </c>
      <c r="G159" s="9" t="s">
        <v>360</v>
      </c>
      <c r="H159" s="13" t="s">
        <v>108</v>
      </c>
      <c r="I159" s="11" t="b">
        <f>IF(AND(J159=F159,K159=G159),TRUE, FALSE)</f>
        <v>1</v>
      </c>
      <c r="J159" s="5" t="s">
        <v>107</v>
      </c>
      <c r="K159" s="13" t="s">
        <v>360</v>
      </c>
    </row>
    <row r="160" spans="1:14">
      <c r="E160" s="5">
        <f t="shared" ca="1" si="6"/>
        <v>0.12514551077126312</v>
      </c>
      <c r="F160" s="13" t="s">
        <v>185</v>
      </c>
      <c r="G160" s="9" t="s">
        <v>360</v>
      </c>
      <c r="H160" s="13" t="s">
        <v>186</v>
      </c>
      <c r="I160" s="11" t="b">
        <f>IF(AND(J160=F160,K160=G160),TRUE, FALSE)</f>
        <v>1</v>
      </c>
      <c r="J160" s="5" t="s">
        <v>185</v>
      </c>
      <c r="K160" s="13" t="s">
        <v>360</v>
      </c>
    </row>
    <row r="161" spans="1:14">
      <c r="C161" s="13" t="s">
        <v>512</v>
      </c>
      <c r="E161" s="5">
        <f t="shared" ref="E161:E183" ca="1" si="8">-(RAND()-1)/7</f>
        <v>2.5250474825378788E-2</v>
      </c>
      <c r="F161" s="13" t="s">
        <v>20</v>
      </c>
      <c r="H161" s="17" t="s">
        <v>21</v>
      </c>
      <c r="I161" s="11" t="b">
        <f>IF(AND(J161=F161,K161=G161,C161=N161),TRUE, FALSE)</f>
        <v>1</v>
      </c>
      <c r="J161" s="5" t="s">
        <v>20</v>
      </c>
      <c r="N161" s="5" t="s">
        <v>512</v>
      </c>
    </row>
    <row r="162" spans="1:14">
      <c r="A162" s="13" t="s">
        <v>440</v>
      </c>
      <c r="B162" s="13" t="s">
        <v>441</v>
      </c>
      <c r="C162" s="13" t="s">
        <v>503</v>
      </c>
      <c r="E162" s="5">
        <f t="shared" ca="1" si="8"/>
        <v>1.3750219845335374E-2</v>
      </c>
      <c r="F162" s="13" t="s">
        <v>30</v>
      </c>
      <c r="H162" s="18" t="s">
        <v>31</v>
      </c>
      <c r="I162" s="11" t="b">
        <f>IF(AND(J162=F162,K162=G162,L162=A162,M162=B162,N162=C162),TRUE, FALSE)</f>
        <v>1</v>
      </c>
      <c r="J162" s="5" t="s">
        <v>30</v>
      </c>
      <c r="L162" s="5" t="s">
        <v>440</v>
      </c>
      <c r="M162" s="5" t="s">
        <v>441</v>
      </c>
      <c r="N162" s="5" t="s">
        <v>503</v>
      </c>
    </row>
    <row r="163" spans="1:14">
      <c r="E163" s="5">
        <f t="shared" ca="1" si="8"/>
        <v>7.8250857790242531E-2</v>
      </c>
      <c r="F163" s="13" t="s">
        <v>71</v>
      </c>
      <c r="G163" s="9" t="s">
        <v>360</v>
      </c>
      <c r="H163" s="13" t="s">
        <v>19</v>
      </c>
      <c r="I163" s="11" t="b">
        <f>IF(AND(J163=F163,K163=G163),TRUE, FALSE)</f>
        <v>1</v>
      </c>
      <c r="J163" s="5" t="s">
        <v>71</v>
      </c>
      <c r="K163" s="13" t="s">
        <v>360</v>
      </c>
    </row>
    <row r="164" spans="1:14">
      <c r="E164" s="5">
        <f t="shared" ca="1" si="8"/>
        <v>7.9027083360707823E-2</v>
      </c>
      <c r="F164" s="13" t="s">
        <v>55</v>
      </c>
      <c r="G164" s="9" t="s">
        <v>360</v>
      </c>
      <c r="H164" s="13" t="s">
        <v>53</v>
      </c>
      <c r="I164" s="11" t="b">
        <f>IF(AND(J164=F164,K164=G164),TRUE, FALSE)</f>
        <v>1</v>
      </c>
      <c r="J164" s="5" t="s">
        <v>55</v>
      </c>
      <c r="K164" s="13" t="s">
        <v>360</v>
      </c>
    </row>
    <row r="165" spans="1:14">
      <c r="A165" s="13" t="s">
        <v>469</v>
      </c>
      <c r="E165" s="5">
        <f t="shared" ca="1" si="8"/>
        <v>3.9054029711434693E-2</v>
      </c>
      <c r="F165" s="13" t="s">
        <v>156</v>
      </c>
      <c r="H165" s="15" t="s">
        <v>157</v>
      </c>
      <c r="I165" s="11" t="b">
        <f>IF(AND(J165=F165,K165=G165,L165=A165),TRUE, FALSE)</f>
        <v>1</v>
      </c>
      <c r="J165" s="5" t="s">
        <v>156</v>
      </c>
      <c r="L165" s="5" t="s">
        <v>469</v>
      </c>
    </row>
    <row r="166" spans="1:14">
      <c r="E166" s="5">
        <f t="shared" ca="1" si="8"/>
        <v>9.9414472843290885E-2</v>
      </c>
      <c r="F166" s="13" t="s">
        <v>268</v>
      </c>
      <c r="G166" s="9" t="s">
        <v>360</v>
      </c>
      <c r="H166" s="13" t="s">
        <v>269</v>
      </c>
      <c r="I166" s="11" t="b">
        <f>IF(AND(J166=F166,K166=G166),TRUE, FALSE)</f>
        <v>1</v>
      </c>
      <c r="J166" s="5" t="s">
        <v>268</v>
      </c>
      <c r="K166" s="13" t="s">
        <v>360</v>
      </c>
    </row>
    <row r="167" spans="1:14">
      <c r="E167" s="5">
        <f t="shared" ca="1" si="8"/>
        <v>6.1488097132757413E-3</v>
      </c>
      <c r="F167" s="13" t="s">
        <v>121</v>
      </c>
      <c r="G167" s="9" t="s">
        <v>360</v>
      </c>
      <c r="H167" s="13" t="s">
        <v>122</v>
      </c>
      <c r="I167" s="11" t="b">
        <f>IF(AND(J167=F167,K167=G167),TRUE, FALSE)</f>
        <v>1</v>
      </c>
      <c r="J167" s="5" t="s">
        <v>121</v>
      </c>
      <c r="K167" s="13" t="s">
        <v>360</v>
      </c>
    </row>
    <row r="168" spans="1:14">
      <c r="E168" s="5">
        <f t="shared" ca="1" si="8"/>
        <v>8.6161393717794757E-2</v>
      </c>
      <c r="F168" s="13" t="s">
        <v>200</v>
      </c>
      <c r="G168" s="9" t="s">
        <v>360</v>
      </c>
      <c r="H168" s="13" t="s">
        <v>201</v>
      </c>
      <c r="I168" s="11" t="b">
        <f>IF(AND(J168=F168,K168=G168),TRUE, FALSE)</f>
        <v>1</v>
      </c>
      <c r="J168" s="5" t="s">
        <v>200</v>
      </c>
      <c r="K168" s="13" t="s">
        <v>360</v>
      </c>
    </row>
    <row r="169" spans="1:14">
      <c r="E169" s="5">
        <f t="shared" ca="1" si="8"/>
        <v>0.11664677123985077</v>
      </c>
      <c r="F169" s="13" t="s">
        <v>366</v>
      </c>
      <c r="G169" s="8"/>
      <c r="H169" s="14" t="s">
        <v>395</v>
      </c>
      <c r="I169" s="11" t="b">
        <f>IF(AND(J169=F169,K169=G169),TRUE, FALSE)</f>
        <v>1</v>
      </c>
      <c r="J169" s="5" t="s">
        <v>366</v>
      </c>
    </row>
    <row r="170" spans="1:14">
      <c r="A170" s="13" t="s">
        <v>433</v>
      </c>
      <c r="B170" s="13" t="s">
        <v>434</v>
      </c>
      <c r="C170" s="13" t="s">
        <v>504</v>
      </c>
      <c r="E170" s="5">
        <f t="shared" ca="1" si="8"/>
        <v>3.329193349306514E-2</v>
      </c>
      <c r="F170" s="13" t="s">
        <v>216</v>
      </c>
      <c r="H170" s="18" t="s">
        <v>217</v>
      </c>
      <c r="I170" s="11" t="b">
        <f>IF(AND(J170=F170,K170=G170,L170=A170,M170=B170,C170=N170),TRUE, FALSE)</f>
        <v>1</v>
      </c>
      <c r="J170" s="5" t="s">
        <v>216</v>
      </c>
      <c r="L170" s="5" t="s">
        <v>433</v>
      </c>
      <c r="M170" s="5" t="s">
        <v>434</v>
      </c>
      <c r="N170" s="5" t="s">
        <v>504</v>
      </c>
    </row>
    <row r="171" spans="1:14">
      <c r="E171" s="5">
        <f t="shared" ca="1" si="8"/>
        <v>9.1276586060038856E-2</v>
      </c>
      <c r="F171" s="13" t="s">
        <v>69</v>
      </c>
      <c r="G171" s="9" t="s">
        <v>360</v>
      </c>
      <c r="H171" s="13" t="s">
        <v>19</v>
      </c>
      <c r="I171" s="11" t="b">
        <f t="shared" ref="I171:I177" si="9">IF(AND(J171=F171,K171=G171),TRUE, FALSE)</f>
        <v>1</v>
      </c>
      <c r="J171" s="5" t="s">
        <v>69</v>
      </c>
      <c r="K171" s="13" t="s">
        <v>360</v>
      </c>
    </row>
    <row r="172" spans="1:14">
      <c r="E172" s="5">
        <f t="shared" ca="1" si="8"/>
        <v>5.8925852851985849E-3</v>
      </c>
      <c r="F172" s="13" t="s">
        <v>276</v>
      </c>
      <c r="G172" s="9" t="s">
        <v>360</v>
      </c>
      <c r="H172" s="13" t="s">
        <v>277</v>
      </c>
      <c r="I172" s="11" t="b">
        <f t="shared" si="9"/>
        <v>1</v>
      </c>
      <c r="J172" s="5" t="s">
        <v>276</v>
      </c>
      <c r="K172" s="13" t="s">
        <v>360</v>
      </c>
    </row>
    <row r="173" spans="1:14">
      <c r="E173" s="5">
        <f t="shared" ca="1" si="8"/>
        <v>9.579824285757714E-2</v>
      </c>
      <c r="F173" s="13" t="s">
        <v>202</v>
      </c>
      <c r="H173" s="13" t="s">
        <v>203</v>
      </c>
      <c r="I173" s="11" t="b">
        <f t="shared" si="9"/>
        <v>1</v>
      </c>
      <c r="J173" s="5" t="s">
        <v>202</v>
      </c>
    </row>
    <row r="174" spans="1:14">
      <c r="E174" s="5">
        <f t="shared" ca="1" si="8"/>
        <v>1.4094062874681226E-2</v>
      </c>
      <c r="F174" s="13" t="s">
        <v>148</v>
      </c>
      <c r="G174" s="9" t="s">
        <v>360</v>
      </c>
      <c r="H174" s="13" t="s">
        <v>149</v>
      </c>
      <c r="I174" s="11" t="b">
        <f t="shared" si="9"/>
        <v>1</v>
      </c>
      <c r="J174" s="5" t="s">
        <v>148</v>
      </c>
      <c r="K174" s="13" t="s">
        <v>360</v>
      </c>
    </row>
    <row r="175" spans="1:14">
      <c r="E175" s="5">
        <f t="shared" ca="1" si="8"/>
        <v>5.6037316929298142E-2</v>
      </c>
      <c r="F175" s="13" t="s">
        <v>113</v>
      </c>
      <c r="G175" s="9" t="s">
        <v>360</v>
      </c>
      <c r="H175" s="13" t="s">
        <v>114</v>
      </c>
      <c r="I175" s="11" t="b">
        <f t="shared" si="9"/>
        <v>1</v>
      </c>
      <c r="J175" s="5" t="s">
        <v>113</v>
      </c>
      <c r="K175" s="13" t="s">
        <v>360</v>
      </c>
    </row>
    <row r="176" spans="1:14">
      <c r="E176" s="5">
        <f t="shared" ca="1" si="8"/>
        <v>9.5231886537556751E-2</v>
      </c>
      <c r="F176" s="13" t="s">
        <v>139</v>
      </c>
      <c r="G176" s="9" t="s">
        <v>360</v>
      </c>
      <c r="H176" s="13" t="s">
        <v>516</v>
      </c>
      <c r="I176" s="11" t="b">
        <f t="shared" si="9"/>
        <v>1</v>
      </c>
      <c r="J176" s="5" t="s">
        <v>139</v>
      </c>
      <c r="K176" s="13" t="s">
        <v>360</v>
      </c>
    </row>
    <row r="177" spans="1:12">
      <c r="E177" s="5">
        <f t="shared" ca="1" si="8"/>
        <v>4.4739069392428221E-2</v>
      </c>
      <c r="F177" s="13" t="s">
        <v>10</v>
      </c>
      <c r="G177" s="9" t="s">
        <v>360</v>
      </c>
      <c r="H177" s="13" t="s">
        <v>11</v>
      </c>
      <c r="I177" s="11" t="b">
        <f t="shared" si="9"/>
        <v>1</v>
      </c>
      <c r="J177" s="5" t="s">
        <v>10</v>
      </c>
      <c r="K177" s="13" t="s">
        <v>360</v>
      </c>
    </row>
    <row r="178" spans="1:12">
      <c r="A178" s="13" t="s">
        <v>447</v>
      </c>
      <c r="E178" s="5">
        <f t="shared" ca="1" si="8"/>
        <v>0.12665570464370529</v>
      </c>
      <c r="F178" s="13" t="s">
        <v>82</v>
      </c>
      <c r="H178" s="15" t="s">
        <v>229</v>
      </c>
      <c r="I178" s="11" t="b">
        <f>IF(AND(J178=F178,K178=G178,L178=A178),TRUE, FALSE)</f>
        <v>1</v>
      </c>
      <c r="J178" s="5" t="s">
        <v>82</v>
      </c>
      <c r="L178" s="5" t="s">
        <v>447</v>
      </c>
    </row>
    <row r="179" spans="1:12">
      <c r="E179" s="5">
        <f t="shared" ca="1" si="8"/>
        <v>2.4273252521577082E-2</v>
      </c>
      <c r="F179" s="13" t="s">
        <v>50</v>
      </c>
      <c r="G179" s="9" t="s">
        <v>360</v>
      </c>
      <c r="H179" s="13" t="s">
        <v>51</v>
      </c>
      <c r="I179" s="11" t="b">
        <f>IF(AND(J179=F179,K179=G179),TRUE, FALSE)</f>
        <v>1</v>
      </c>
      <c r="J179" s="5" t="s">
        <v>50</v>
      </c>
      <c r="K179" s="13" t="s">
        <v>360</v>
      </c>
    </row>
    <row r="180" spans="1:12">
      <c r="E180" s="5">
        <f t="shared" ca="1" si="8"/>
        <v>3.4125721500755768E-2</v>
      </c>
      <c r="F180" s="13" t="s">
        <v>28</v>
      </c>
      <c r="H180" s="13" t="s">
        <v>29</v>
      </c>
      <c r="I180" s="11" t="b">
        <f>IF(AND(J180=F180,K180=G180),TRUE, FALSE)</f>
        <v>1</v>
      </c>
      <c r="J180" s="5" t="s">
        <v>28</v>
      </c>
    </row>
    <row r="181" spans="1:12">
      <c r="E181" s="5">
        <f t="shared" ca="1" si="8"/>
        <v>0.11242836350043624</v>
      </c>
      <c r="F181" s="13" t="s">
        <v>272</v>
      </c>
      <c r="G181" s="9" t="s">
        <v>360</v>
      </c>
      <c r="H181" s="13" t="s">
        <v>273</v>
      </c>
      <c r="I181" s="11" t="b">
        <f>IF(AND(J181=F181,K181=G181),TRUE, FALSE)</f>
        <v>1</v>
      </c>
      <c r="J181" s="5" t="s">
        <v>272</v>
      </c>
      <c r="K181" s="13" t="s">
        <v>360</v>
      </c>
    </row>
    <row r="182" spans="1:12">
      <c r="E182" s="5">
        <f t="shared" ca="1" si="8"/>
        <v>7.2307967146579957E-2</v>
      </c>
      <c r="F182" s="13" t="s">
        <v>289</v>
      </c>
      <c r="H182" s="13" t="s">
        <v>291</v>
      </c>
      <c r="I182" s="11" t="b">
        <f>IF(AND(J182=F182,K182=G182),TRUE, FALSE)</f>
        <v>1</v>
      </c>
      <c r="J182" s="5" t="s">
        <v>289</v>
      </c>
    </row>
    <row r="183" spans="1:12">
      <c r="E183" s="5">
        <f t="shared" ca="1" si="8"/>
        <v>9.582613398127178E-2</v>
      </c>
      <c r="F183" s="14" t="s">
        <v>352</v>
      </c>
      <c r="G183" s="8" t="s">
        <v>388</v>
      </c>
      <c r="H183" s="14" t="s">
        <v>353</v>
      </c>
      <c r="I183" s="11" t="b">
        <f>IF(AND(J183=F183,K183=G183),TRUE, FALSE)</f>
        <v>1</v>
      </c>
      <c r="J183" s="5" t="s">
        <v>352</v>
      </c>
      <c r="K183" s="13" t="s">
        <v>388</v>
      </c>
    </row>
  </sheetData>
  <sortState xmlns:xlrd2="http://schemas.microsoft.com/office/spreadsheetml/2017/richdata2" ref="A1:I183">
    <sortCondition descending="1" ref="E1:E183"/>
  </sortState>
  <conditionalFormatting sqref="I1:I1048576">
    <cfRule type="cellIs" dxfId="3" priority="6" operator="equal">
      <formula>TRUE</formula>
    </cfRule>
    <cfRule type="cellIs" dxfId="2" priority="7" operator="equal">
      <formula>FALSE</formula>
    </cfRule>
  </conditionalFormatting>
  <conditionalFormatting sqref="A1:O1048576">
    <cfRule type="expression" dxfId="1" priority="1">
      <formula>CELL("row")=ROW()</formula>
    </cfRule>
    <cfRule type="expression" dxfId="0" priority="2">
      <formula>COLUMN()=CELL("col")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</vt:lpstr>
      <vt:lpstr>2</vt:lpstr>
      <vt:lpstr>3</vt:lpstr>
      <vt:lpstr>4</vt:lpstr>
      <vt:lpstr>5</vt:lpstr>
      <vt:lpstr>7</vt:lpstr>
      <vt:lpstr>8</vt:lpstr>
      <vt:lpstr>9</vt:lpstr>
      <vt:lpstr>10</vt:lpstr>
      <vt:lpstr>grammar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pham</dc:creator>
  <cp:lastModifiedBy>tran pham</cp:lastModifiedBy>
  <dcterms:created xsi:type="dcterms:W3CDTF">2022-10-28T02:38:15Z</dcterms:created>
  <dcterms:modified xsi:type="dcterms:W3CDTF">2023-02-20T04:56:45Z</dcterms:modified>
</cp:coreProperties>
</file>